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63A5EA6-B4B6-4163-AE79-DC1AE9418F8F}" xr6:coauthVersionLast="47" xr6:coauthVersionMax="47" xr10:uidLastSave="{00000000-0000-0000-0000-000000000000}"/>
  <bookViews>
    <workbookView xWindow="2355" yWindow="4485" windowWidth="13590" windowHeight="9240" xr2:uid="{EEE6186A-144D-4EE7-9FD1-738DBD1FEEA9}"/>
  </bookViews>
  <sheets>
    <sheet name="Envia Mais" sheetId="1" r:id="rId1"/>
    <sheet name="GLM" sheetId="2" r:id="rId2"/>
    <sheet name="Mandar Dropoff" sheetId="3" r:id="rId3"/>
  </sheets>
  <externalReferences>
    <externalReference r:id="rId4"/>
  </externalReferences>
  <definedNames>
    <definedName name="_xlnm._FilterDatabase" localSheetId="0" hidden="1">'Envia Mais'!$A$2:$C$2</definedName>
    <definedName name="_xlnm._FilterDatabase" localSheetId="1" hidden="1">GLM!$A$2:$C$2</definedName>
    <definedName name="_xlnm._FilterDatabase" localSheetId="2" hidden="1">'Mandar Dropoff'!$A$2:$C$2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3" l="1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<sst xmlns="http://schemas.openxmlformats.org/spreadsheetml/2006/main" count="213" uniqueCount="60">
  <si>
    <t>UF</t>
  </si>
  <si>
    <t>Cidade</t>
  </si>
  <si>
    <t>Interior</t>
  </si>
  <si>
    <t>E+</t>
  </si>
  <si>
    <t>AC</t>
  </si>
  <si>
    <t>Rio Branco</t>
  </si>
  <si>
    <t>AL</t>
  </si>
  <si>
    <t>Maceió</t>
  </si>
  <si>
    <t>AM</t>
  </si>
  <si>
    <t>Manaus</t>
  </si>
  <si>
    <t>AP</t>
  </si>
  <si>
    <t>Macapá</t>
  </si>
  <si>
    <t>BA</t>
  </si>
  <si>
    <t>Salvador</t>
  </si>
  <si>
    <t>CE</t>
  </si>
  <si>
    <t>Fortaleza</t>
  </si>
  <si>
    <t>DF</t>
  </si>
  <si>
    <t>Brasília</t>
  </si>
  <si>
    <t>ES</t>
  </si>
  <si>
    <t>Vitória</t>
  </si>
  <si>
    <t>GO</t>
  </si>
  <si>
    <t>Goiânia</t>
  </si>
  <si>
    <t>MA</t>
  </si>
  <si>
    <t>São Luís</t>
  </si>
  <si>
    <t>MG</t>
  </si>
  <si>
    <t>Belo Horizonte</t>
  </si>
  <si>
    <t>MS</t>
  </si>
  <si>
    <t>Campo Grande</t>
  </si>
  <si>
    <t>MT</t>
  </si>
  <si>
    <t>Cuiabá</t>
  </si>
  <si>
    <t>PA</t>
  </si>
  <si>
    <t>Belém</t>
  </si>
  <si>
    <t>PB</t>
  </si>
  <si>
    <t>João Pessoa</t>
  </si>
  <si>
    <t>PE</t>
  </si>
  <si>
    <t>Recife</t>
  </si>
  <si>
    <t>PI</t>
  </si>
  <si>
    <t>Teresina</t>
  </si>
  <si>
    <t>PR</t>
  </si>
  <si>
    <t>Curitiba</t>
  </si>
  <si>
    <t>RJ</t>
  </si>
  <si>
    <t>Rio de Janeiro</t>
  </si>
  <si>
    <t>RN</t>
  </si>
  <si>
    <t>Natal</t>
  </si>
  <si>
    <t>RO</t>
  </si>
  <si>
    <t>Porto Velho</t>
  </si>
  <si>
    <t>RR</t>
  </si>
  <si>
    <t>Boa Vista</t>
  </si>
  <si>
    <t>RS</t>
  </si>
  <si>
    <t>Porto Alegre</t>
  </si>
  <si>
    <t>SC</t>
  </si>
  <si>
    <t>Florianópolis</t>
  </si>
  <si>
    <t>SE</t>
  </si>
  <si>
    <t>Aracaju</t>
  </si>
  <si>
    <t>SP</t>
  </si>
  <si>
    <t>São Paulo</t>
  </si>
  <si>
    <t>TO</t>
  </si>
  <si>
    <t>Palmas</t>
  </si>
  <si>
    <t>GLM</t>
  </si>
  <si>
    <t>Mandar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</si>
</sst>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2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7" fontId="0" fillId="0" borderId="0" xfId="0" applyNumberForma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Meu%20Drive%20(glmatibaia@gmail.com)\CONVERSORES\LIGIA%20consultas.xlsm" TargetMode="External"/><Relationship Id="rId1" Type="http://schemas.openxmlformats.org/officeDocument/2006/relationships/externalLinkPath" Target="/Users/Usuario/Meu%20Drive%20(glmatibaia@gmail.com)/CONVERSORES/LIGIA%20consult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Ceps"/>
      <sheetName val="Envia Mais"/>
      <sheetName val="GLM"/>
      <sheetName val="Mandar Dropoff"/>
    </sheetNames>
    <sheetDataSet>
      <sheetData sheetId="0"/>
      <sheetData sheetId="1">
        <row r="2">
          <cell r="B2">
            <v>69900901</v>
          </cell>
          <cell r="C2">
            <v>69925000</v>
          </cell>
        </row>
        <row r="3">
          <cell r="B3">
            <v>57020000</v>
          </cell>
          <cell r="C3">
            <v>57480000</v>
          </cell>
        </row>
        <row r="4">
          <cell r="B4">
            <v>69010060</v>
          </cell>
          <cell r="C4">
            <v>68925001</v>
          </cell>
        </row>
        <row r="5">
          <cell r="B5">
            <v>68900070</v>
          </cell>
          <cell r="C5">
            <v>69190000</v>
          </cell>
        </row>
        <row r="6">
          <cell r="B6">
            <v>40020000</v>
          </cell>
          <cell r="C6">
            <v>42600000</v>
          </cell>
        </row>
        <row r="7">
          <cell r="B7">
            <v>60060170</v>
          </cell>
          <cell r="C7">
            <v>61600001</v>
          </cell>
        </row>
        <row r="8">
          <cell r="B8">
            <v>70070600</v>
          </cell>
          <cell r="C8">
            <v>71572000</v>
          </cell>
        </row>
        <row r="9">
          <cell r="B9">
            <v>29010001</v>
          </cell>
          <cell r="C9">
            <v>29185000</v>
          </cell>
        </row>
        <row r="10">
          <cell r="B10">
            <v>74001970</v>
          </cell>
          <cell r="C10">
            <v>72860001</v>
          </cell>
        </row>
        <row r="11">
          <cell r="B11">
            <v>65010000</v>
          </cell>
          <cell r="C11">
            <v>65143000</v>
          </cell>
        </row>
        <row r="12">
          <cell r="B12">
            <v>30130917</v>
          </cell>
          <cell r="C12">
            <v>78195000</v>
          </cell>
        </row>
        <row r="13">
          <cell r="B13">
            <v>79002970</v>
          </cell>
          <cell r="C13">
            <v>79130000</v>
          </cell>
        </row>
        <row r="14">
          <cell r="B14">
            <v>78005091</v>
          </cell>
          <cell r="C14">
            <v>32450000</v>
          </cell>
        </row>
        <row r="15">
          <cell r="B15">
            <v>66015200</v>
          </cell>
          <cell r="C15">
            <v>66910000</v>
          </cell>
        </row>
        <row r="16">
          <cell r="B16">
            <v>58013131</v>
          </cell>
          <cell r="C16">
            <v>58117000</v>
          </cell>
        </row>
        <row r="17">
          <cell r="B17">
            <v>50010900</v>
          </cell>
          <cell r="C17">
            <v>64100000</v>
          </cell>
        </row>
        <row r="18">
          <cell r="B18">
            <v>64000001</v>
          </cell>
          <cell r="C18">
            <v>83024899</v>
          </cell>
        </row>
        <row r="19">
          <cell r="B19">
            <v>80020030</v>
          </cell>
          <cell r="C19">
            <v>53900000</v>
          </cell>
        </row>
        <row r="20">
          <cell r="B20">
            <v>20020002</v>
          </cell>
          <cell r="C20">
            <v>20396000</v>
          </cell>
        </row>
        <row r="21">
          <cell r="B21">
            <v>59025900</v>
          </cell>
          <cell r="C21">
            <v>59162000</v>
          </cell>
        </row>
        <row r="22">
          <cell r="B22">
            <v>76801974</v>
          </cell>
          <cell r="C22">
            <v>69340000</v>
          </cell>
        </row>
        <row r="23">
          <cell r="B23">
            <v>69301160</v>
          </cell>
          <cell r="C23">
            <v>92990000</v>
          </cell>
        </row>
        <row r="24">
          <cell r="B24">
            <v>90010150</v>
          </cell>
          <cell r="C24">
            <v>76860000</v>
          </cell>
        </row>
        <row r="25">
          <cell r="B25">
            <v>88010400</v>
          </cell>
          <cell r="C25">
            <v>88138100</v>
          </cell>
        </row>
        <row r="26">
          <cell r="B26">
            <v>49010040</v>
          </cell>
          <cell r="C26">
            <v>49120000</v>
          </cell>
        </row>
        <row r="27">
          <cell r="B27" t="str">
            <v>01045903</v>
          </cell>
          <cell r="C27" t="str">
            <v>04474970</v>
          </cell>
        </row>
        <row r="28">
          <cell r="B28">
            <v>77001900</v>
          </cell>
          <cell r="C28">
            <v>77470000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311B-6C1F-49DC-9E9B-46168293ED7D}">
  <sheetPr codeName="Planilha2"/>
  <dimension ref="A1:Q30"/>
  <sheetViews>
    <sheetView showGridLines="0" tabSelected="1" workbookViewId="0">
      <selection activeCell="G10" sqref="G10"/>
    </sheetView>
  </sheetViews>
  <sheetFormatPr defaultRowHeight="15" x14ac:dyDescent="0.25"/>
  <cols>
    <col min="2" max="2" width="14.28515625" bestFit="1" customWidth="1"/>
    <col min="4" max="10" width="9.140625" style="8"/>
    <col min="11" max="11" width="10.7109375" bestFit="1" customWidth="1"/>
  </cols>
  <sheetData>
    <row r="1" spans="1:17" x14ac:dyDescent="0.25">
      <c r="D1" s="1">
        <v>1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40</v>
      </c>
      <c r="L1" s="1">
        <v>50</v>
      </c>
      <c r="M1" s="1">
        <v>60</v>
      </c>
      <c r="N1" s="1">
        <v>70</v>
      </c>
      <c r="O1" s="1">
        <v>80</v>
      </c>
      <c r="P1" s="1">
        <v>90</v>
      </c>
      <c r="Q1" s="1">
        <v>100</v>
      </c>
    </row>
    <row r="2" spans="1:17" x14ac:dyDescent="0.25">
      <c r="A2" t="s">
        <v>0</v>
      </c>
      <c r="B2" t="s">
        <v>1</v>
      </c>
      <c r="C2" s="2" t="s">
        <v>2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</row>
    <row r="3" spans="1:17" ht="15" customHeight="1" x14ac:dyDescent="0.25">
      <c r="A3" s="4" t="s">
        <v>4</v>
      </c>
      <c r="B3" s="4" t="s">
        <v>5</v>
      </c>
      <c r="C3" s="5">
        <f>IF($C$2="Capital",[1]Ceps!B2,[1]Ceps!C2)</f>
        <v>69925000</v>
      </c>
      <c r="D3" s="6">
        <v>142.09</v>
      </c>
      <c r="E3" s="6">
        <v>207.09</v>
      </c>
      <c r="F3" s="6">
        <v>327.32</v>
      </c>
      <c r="G3" s="6">
        <v>656.61</v>
      </c>
      <c r="H3" s="6">
        <v>937.03</v>
      </c>
      <c r="I3" s="6">
        <v>1334.13</v>
      </c>
      <c r="J3" s="6">
        <v>1689.62</v>
      </c>
      <c r="K3" s="7">
        <v>2405.4299999999998</v>
      </c>
      <c r="L3">
        <v>3056.72</v>
      </c>
      <c r="M3">
        <v>3772.53</v>
      </c>
      <c r="N3">
        <v>4423.82</v>
      </c>
      <c r="O3">
        <v>5075.1099999999997</v>
      </c>
      <c r="P3">
        <v>5726.4</v>
      </c>
      <c r="Q3">
        <v>6377.69</v>
      </c>
    </row>
    <row r="4" spans="1:17" ht="15" customHeight="1" x14ac:dyDescent="0.25">
      <c r="A4" s="4" t="s">
        <v>6</v>
      </c>
      <c r="B4" s="4" t="s">
        <v>7</v>
      </c>
      <c r="C4" s="5">
        <f>IF($C$2="Capital",[1]Ceps!B3,[1]Ceps!C3)</f>
        <v>57480000</v>
      </c>
      <c r="D4" s="6">
        <v>96.45</v>
      </c>
      <c r="E4" s="6">
        <v>141.54</v>
      </c>
      <c r="F4" s="6">
        <v>222.59</v>
      </c>
      <c r="G4" s="6">
        <v>424.46</v>
      </c>
      <c r="H4" s="6">
        <v>605.08000000000004</v>
      </c>
      <c r="I4" s="6">
        <v>828.68</v>
      </c>
      <c r="J4" s="6">
        <v>1049.29</v>
      </c>
      <c r="K4" s="7">
        <v>1591.35</v>
      </c>
      <c r="L4">
        <v>2068.9</v>
      </c>
      <c r="M4">
        <v>2610.9699999999998</v>
      </c>
      <c r="N4">
        <v>3088.51</v>
      </c>
      <c r="O4">
        <v>3566.05</v>
      </c>
      <c r="P4">
        <v>4043.6</v>
      </c>
      <c r="Q4">
        <v>4521.1499999999996</v>
      </c>
    </row>
    <row r="5" spans="1:17" ht="15" customHeight="1" x14ac:dyDescent="0.25">
      <c r="A5" s="4" t="s">
        <v>8</v>
      </c>
      <c r="B5" s="4" t="s">
        <v>9</v>
      </c>
      <c r="C5" s="5">
        <f>IF($C$2="Capital",[1]Ceps!B4,[1]Ceps!C4)</f>
        <v>68925001</v>
      </c>
      <c r="D5" s="6">
        <v>106.51</v>
      </c>
      <c r="E5" s="6">
        <v>153.13</v>
      </c>
      <c r="F5" s="6">
        <v>236.38</v>
      </c>
      <c r="G5" s="6">
        <v>447.28</v>
      </c>
      <c r="H5" s="6">
        <v>634.26</v>
      </c>
      <c r="I5" s="6">
        <v>865.7</v>
      </c>
      <c r="J5" s="6">
        <v>1093.82</v>
      </c>
      <c r="K5" s="7">
        <v>1776.38</v>
      </c>
      <c r="L5">
        <v>2394.42</v>
      </c>
      <c r="M5">
        <v>3076.98</v>
      </c>
      <c r="N5">
        <v>3695.03</v>
      </c>
      <c r="O5">
        <v>4313.08</v>
      </c>
      <c r="P5">
        <v>4931.12</v>
      </c>
      <c r="Q5">
        <v>5549.17</v>
      </c>
    </row>
    <row r="6" spans="1:17" ht="15" customHeight="1" x14ac:dyDescent="0.25">
      <c r="A6" s="4" t="s">
        <v>10</v>
      </c>
      <c r="B6" s="4" t="s">
        <v>11</v>
      </c>
      <c r="C6" s="5">
        <f>IF($C$2="Capital",[1]Ceps!B5,[1]Ceps!C5)</f>
        <v>69190000</v>
      </c>
      <c r="D6" s="6">
        <v>96.98</v>
      </c>
      <c r="E6" s="6">
        <v>142.80000000000001</v>
      </c>
      <c r="F6" s="6">
        <v>224.61</v>
      </c>
      <c r="G6" s="6">
        <v>431.86</v>
      </c>
      <c r="H6" s="6">
        <v>615.67999999999995</v>
      </c>
      <c r="I6" s="6">
        <v>843.25</v>
      </c>
      <c r="J6" s="6">
        <v>1067.77</v>
      </c>
      <c r="K6" s="7">
        <v>1750.33</v>
      </c>
      <c r="L6">
        <v>2368.38</v>
      </c>
      <c r="M6">
        <v>3050.95</v>
      </c>
      <c r="N6">
        <v>3668.99</v>
      </c>
      <c r="O6">
        <v>4287.03</v>
      </c>
      <c r="P6">
        <v>4905.08</v>
      </c>
      <c r="Q6">
        <v>5523.13</v>
      </c>
    </row>
    <row r="7" spans="1:17" ht="15" customHeight="1" x14ac:dyDescent="0.25">
      <c r="A7" s="4" t="s">
        <v>12</v>
      </c>
      <c r="B7" s="4" t="s">
        <v>13</v>
      </c>
      <c r="C7" s="5">
        <f>IF($C$2="Capital",[1]Ceps!B6,[1]Ceps!C6)</f>
        <v>42600000</v>
      </c>
      <c r="D7" s="6">
        <v>45.17</v>
      </c>
      <c r="E7" s="6">
        <v>80.180000000000007</v>
      </c>
      <c r="F7" s="6">
        <v>139.94999999999999</v>
      </c>
      <c r="G7" s="6">
        <v>265.23</v>
      </c>
      <c r="H7" s="6">
        <v>377.39</v>
      </c>
      <c r="I7" s="6">
        <v>516.25</v>
      </c>
      <c r="J7" s="6">
        <v>653.35</v>
      </c>
      <c r="K7" s="7">
        <v>1125.67</v>
      </c>
      <c r="L7">
        <v>1533.47</v>
      </c>
      <c r="M7">
        <v>2005.78</v>
      </c>
      <c r="N7">
        <v>2413.59</v>
      </c>
      <c r="O7">
        <v>2821.39</v>
      </c>
      <c r="P7">
        <v>3229.19</v>
      </c>
      <c r="Q7">
        <v>3636.99</v>
      </c>
    </row>
    <row r="8" spans="1:17" ht="15" customHeight="1" x14ac:dyDescent="0.25">
      <c r="A8" s="4" t="s">
        <v>14</v>
      </c>
      <c r="B8" s="4" t="s">
        <v>15</v>
      </c>
      <c r="C8" s="5">
        <f>IF($C$2="Capital",[1]Ceps!B7,[1]Ceps!C7)</f>
        <v>61600001</v>
      </c>
      <c r="D8" s="6">
        <v>73.05</v>
      </c>
      <c r="E8" s="6">
        <v>113.12</v>
      </c>
      <c r="F8" s="6">
        <v>182.59</v>
      </c>
      <c r="G8" s="6">
        <v>347.32</v>
      </c>
      <c r="H8" s="6">
        <v>494.65</v>
      </c>
      <c r="I8" s="6">
        <v>677</v>
      </c>
      <c r="J8" s="6">
        <v>856.74</v>
      </c>
      <c r="K8" s="7">
        <v>1524.25</v>
      </c>
      <c r="L8">
        <v>2127.25</v>
      </c>
      <c r="M8">
        <v>2794.76</v>
      </c>
      <c r="N8">
        <v>3397.75</v>
      </c>
      <c r="O8">
        <v>4000.75</v>
      </c>
      <c r="P8">
        <v>4603.75</v>
      </c>
      <c r="Q8">
        <v>5206.74</v>
      </c>
    </row>
    <row r="9" spans="1:17" ht="15" customHeight="1" x14ac:dyDescent="0.25">
      <c r="A9" s="4" t="s">
        <v>16</v>
      </c>
      <c r="B9" s="4" t="s">
        <v>17</v>
      </c>
      <c r="C9" s="5">
        <f>IF($C$2="Capital",[1]Ceps!B8,[1]Ceps!C8)</f>
        <v>71572000</v>
      </c>
      <c r="D9" s="6">
        <v>36.049999999999997</v>
      </c>
      <c r="E9" s="6">
        <v>65.52</v>
      </c>
      <c r="F9" s="6">
        <v>114.89</v>
      </c>
      <c r="G9" s="6">
        <v>215.53</v>
      </c>
      <c r="H9" s="6">
        <v>305.77999999999997</v>
      </c>
      <c r="I9" s="6">
        <v>419</v>
      </c>
      <c r="J9" s="6">
        <v>529.78</v>
      </c>
      <c r="K9" s="7">
        <v>888.55</v>
      </c>
      <c r="L9">
        <v>1182.81</v>
      </c>
      <c r="M9">
        <v>1541.57</v>
      </c>
      <c r="N9">
        <v>1835.83</v>
      </c>
      <c r="O9">
        <v>2130.09</v>
      </c>
      <c r="P9">
        <v>2424.33</v>
      </c>
      <c r="Q9">
        <v>2718.59</v>
      </c>
    </row>
    <row r="10" spans="1:17" ht="15" customHeight="1" x14ac:dyDescent="0.25">
      <c r="A10" s="4" t="s">
        <v>18</v>
      </c>
      <c r="B10" s="4" t="s">
        <v>19</v>
      </c>
      <c r="C10" s="5">
        <f>IF($C$2="Capital",[1]Ceps!B9,[1]Ceps!C9)</f>
        <v>29185000</v>
      </c>
      <c r="D10" s="6">
        <v>35.090000000000003</v>
      </c>
      <c r="E10" s="6">
        <v>64.28</v>
      </c>
      <c r="F10" s="6">
        <v>113.17</v>
      </c>
      <c r="G10" s="6">
        <v>212.8</v>
      </c>
      <c r="H10" s="6">
        <v>302.27</v>
      </c>
      <c r="I10" s="6">
        <v>414.46</v>
      </c>
      <c r="J10" s="6">
        <v>524.33000000000004</v>
      </c>
      <c r="K10" s="7">
        <v>883.11</v>
      </c>
      <c r="L10">
        <v>1177.3499999999999</v>
      </c>
      <c r="M10">
        <v>1536.13</v>
      </c>
      <c r="N10">
        <v>1830.38</v>
      </c>
      <c r="O10">
        <v>2124.63</v>
      </c>
      <c r="P10">
        <v>2418.89</v>
      </c>
      <c r="Q10">
        <v>2713.14</v>
      </c>
    </row>
    <row r="11" spans="1:17" ht="15" customHeight="1" x14ac:dyDescent="0.25">
      <c r="A11" s="4" t="s">
        <v>20</v>
      </c>
      <c r="B11" s="4" t="s">
        <v>21</v>
      </c>
      <c r="C11" s="5">
        <f>IF($C$2="Capital",[1]Ceps!B10,[1]Ceps!C10)</f>
        <v>72860001</v>
      </c>
      <c r="D11" s="6">
        <v>35.619999999999997</v>
      </c>
      <c r="E11" s="6">
        <v>65.34</v>
      </c>
      <c r="F11" s="6">
        <v>115.12</v>
      </c>
      <c r="G11" s="6">
        <v>216.56</v>
      </c>
      <c r="H11" s="6">
        <v>307.61</v>
      </c>
      <c r="I11" s="6">
        <v>421.75</v>
      </c>
      <c r="J11" s="6">
        <v>533.41999999999996</v>
      </c>
      <c r="K11" s="7">
        <v>964.85</v>
      </c>
      <c r="L11">
        <v>1331.77</v>
      </c>
      <c r="M11">
        <v>1763.2</v>
      </c>
      <c r="N11">
        <v>2130.13</v>
      </c>
      <c r="O11">
        <v>2497.04</v>
      </c>
      <c r="P11">
        <v>2863.97</v>
      </c>
      <c r="Q11">
        <v>3230.88</v>
      </c>
    </row>
    <row r="12" spans="1:17" ht="15" customHeight="1" x14ac:dyDescent="0.25">
      <c r="A12" s="4" t="s">
        <v>22</v>
      </c>
      <c r="B12" s="4" t="s">
        <v>23</v>
      </c>
      <c r="C12" s="5">
        <f>IF($C$2="Capital",[1]Ceps!B11,[1]Ceps!C11)</f>
        <v>65143000</v>
      </c>
      <c r="D12" s="6">
        <v>98.61</v>
      </c>
      <c r="E12" s="6">
        <v>145.24</v>
      </c>
      <c r="F12" s="6">
        <v>228.48</v>
      </c>
      <c r="G12" s="6">
        <v>439.39</v>
      </c>
      <c r="H12" s="6">
        <v>626.37</v>
      </c>
      <c r="I12" s="6">
        <v>857.81</v>
      </c>
      <c r="J12" s="6">
        <v>1085.92</v>
      </c>
      <c r="K12" s="7">
        <v>1640.11</v>
      </c>
      <c r="L12">
        <v>2129.7800000000002</v>
      </c>
      <c r="M12">
        <v>2683.98</v>
      </c>
      <c r="N12">
        <v>3173.66</v>
      </c>
      <c r="O12">
        <v>3663.32</v>
      </c>
      <c r="P12">
        <v>4153</v>
      </c>
      <c r="Q12">
        <v>4642.68</v>
      </c>
    </row>
    <row r="13" spans="1:17" ht="15" customHeight="1" x14ac:dyDescent="0.25">
      <c r="A13" s="4" t="s">
        <v>24</v>
      </c>
      <c r="B13" s="4" t="s">
        <v>25</v>
      </c>
      <c r="C13" s="5">
        <f>IF($C$2="Capital",[1]Ceps!B12,[1]Ceps!C12)</f>
        <v>78195000</v>
      </c>
      <c r="D13" s="6">
        <v>34.090000000000003</v>
      </c>
      <c r="E13" s="6">
        <v>55.99</v>
      </c>
      <c r="F13" s="6">
        <v>97.74</v>
      </c>
      <c r="G13" s="6">
        <v>182.9</v>
      </c>
      <c r="H13" s="6">
        <v>259.67</v>
      </c>
      <c r="I13" s="6">
        <v>356</v>
      </c>
      <c r="J13" s="6">
        <v>450.67</v>
      </c>
      <c r="K13" s="7">
        <v>765.85</v>
      </c>
      <c r="L13">
        <v>1012.85</v>
      </c>
      <c r="M13">
        <v>1328.03</v>
      </c>
      <c r="N13">
        <v>1575.03</v>
      </c>
      <c r="O13">
        <v>1822.02</v>
      </c>
      <c r="P13">
        <v>2069.02</v>
      </c>
      <c r="Q13">
        <v>2316.02</v>
      </c>
    </row>
    <row r="14" spans="1:17" ht="15" customHeight="1" x14ac:dyDescent="0.25">
      <c r="A14" s="4" t="s">
        <v>26</v>
      </c>
      <c r="B14" s="4" t="s">
        <v>27</v>
      </c>
      <c r="C14" s="5">
        <f>IF($C$2="Capital",[1]Ceps!B13,[1]Ceps!C13)</f>
        <v>79130000</v>
      </c>
      <c r="D14" s="6">
        <v>35.380000000000003</v>
      </c>
      <c r="E14" s="6">
        <v>65.290000000000006</v>
      </c>
      <c r="F14" s="6">
        <v>115.08</v>
      </c>
      <c r="G14" s="6">
        <v>219.97</v>
      </c>
      <c r="H14" s="6">
        <v>312.57</v>
      </c>
      <c r="I14" s="6">
        <v>428.61</v>
      </c>
      <c r="J14" s="6">
        <v>542.23</v>
      </c>
      <c r="K14" s="7">
        <v>848.55</v>
      </c>
      <c r="L14">
        <v>1090.3499999999999</v>
      </c>
      <c r="M14">
        <v>1396.67</v>
      </c>
      <c r="N14">
        <v>1638.47</v>
      </c>
      <c r="O14">
        <v>1880.28</v>
      </c>
      <c r="P14">
        <v>2122.09</v>
      </c>
      <c r="Q14">
        <v>2363.89</v>
      </c>
    </row>
    <row r="15" spans="1:17" ht="15" customHeight="1" x14ac:dyDescent="0.25">
      <c r="A15" s="4" t="s">
        <v>28</v>
      </c>
      <c r="B15" s="4" t="s">
        <v>29</v>
      </c>
      <c r="C15" s="5">
        <f>IF($C$2="Capital",[1]Ceps!B14,[1]Ceps!C14)</f>
        <v>32450000</v>
      </c>
      <c r="D15" s="6">
        <v>41.91</v>
      </c>
      <c r="E15" s="6">
        <v>74.33</v>
      </c>
      <c r="F15" s="6">
        <v>129.69999999999999</v>
      </c>
      <c r="G15" s="6">
        <v>248.72</v>
      </c>
      <c r="H15" s="6">
        <v>353.75</v>
      </c>
      <c r="I15" s="6">
        <v>485.38</v>
      </c>
      <c r="J15" s="6">
        <v>614.16</v>
      </c>
      <c r="K15" s="7">
        <v>1064.57</v>
      </c>
      <c r="L15">
        <v>1450.47</v>
      </c>
      <c r="M15">
        <v>1900.89</v>
      </c>
      <c r="N15">
        <v>2286.7800000000002</v>
      </c>
      <c r="O15">
        <v>2672.69</v>
      </c>
      <c r="P15">
        <v>3058.59</v>
      </c>
      <c r="Q15">
        <v>3444.49</v>
      </c>
    </row>
    <row r="16" spans="1:17" ht="15" customHeight="1" x14ac:dyDescent="0.25">
      <c r="A16" s="4" t="s">
        <v>30</v>
      </c>
      <c r="B16" s="4" t="s">
        <v>31</v>
      </c>
      <c r="C16" s="5">
        <f>IF($C$2="Capital",[1]Ceps!B15,[1]Ceps!C15)</f>
        <v>66910000</v>
      </c>
      <c r="D16" s="6">
        <v>72.97</v>
      </c>
      <c r="E16" s="6">
        <v>113.31</v>
      </c>
      <c r="F16" s="6">
        <v>182.96</v>
      </c>
      <c r="G16" s="6">
        <v>350.81</v>
      </c>
      <c r="H16" s="6">
        <v>499.71</v>
      </c>
      <c r="I16" s="6">
        <v>684.06</v>
      </c>
      <c r="J16" s="6">
        <v>865.95</v>
      </c>
      <c r="K16" s="7">
        <v>1548.51</v>
      </c>
      <c r="L16">
        <v>2166.56</v>
      </c>
      <c r="M16">
        <v>2849.12</v>
      </c>
      <c r="N16">
        <v>3467.16</v>
      </c>
      <c r="O16">
        <v>4085.22</v>
      </c>
      <c r="P16">
        <v>4703.26</v>
      </c>
      <c r="Q16">
        <v>5321.3</v>
      </c>
    </row>
    <row r="17" spans="1:17" ht="15" customHeight="1" x14ac:dyDescent="0.25">
      <c r="A17" s="4" t="s">
        <v>32</v>
      </c>
      <c r="B17" s="4" t="s">
        <v>33</v>
      </c>
      <c r="C17" s="5">
        <f>IF($C$2="Capital",[1]Ceps!B16,[1]Ceps!C16)</f>
        <v>58117000</v>
      </c>
      <c r="D17" s="6">
        <v>98.06</v>
      </c>
      <c r="E17" s="6">
        <v>143.96</v>
      </c>
      <c r="F17" s="6">
        <v>226.42</v>
      </c>
      <c r="G17" s="6">
        <v>431.87</v>
      </c>
      <c r="H17" s="6">
        <v>615.57000000000005</v>
      </c>
      <c r="I17" s="6">
        <v>842.98</v>
      </c>
      <c r="J17" s="6">
        <v>1067.1300000000001</v>
      </c>
      <c r="K17" s="7">
        <v>1609.19</v>
      </c>
      <c r="L17">
        <v>2086.7399999999998</v>
      </c>
      <c r="M17">
        <v>2628.8</v>
      </c>
      <c r="N17">
        <v>3106.34</v>
      </c>
      <c r="O17">
        <v>3583.89</v>
      </c>
      <c r="P17">
        <v>4061.43</v>
      </c>
      <c r="Q17">
        <v>4538.9799999999996</v>
      </c>
    </row>
    <row r="18" spans="1:17" ht="15" customHeight="1" x14ac:dyDescent="0.25">
      <c r="A18" s="4" t="s">
        <v>34</v>
      </c>
      <c r="B18" s="4" t="s">
        <v>35</v>
      </c>
      <c r="C18" s="5">
        <f>IF($C$2="Capital",[1]Ceps!B17,[1]Ceps!C17)</f>
        <v>64100000</v>
      </c>
      <c r="D18" s="6">
        <v>59.59</v>
      </c>
      <c r="E18" s="6">
        <v>100.35</v>
      </c>
      <c r="F18" s="6">
        <v>161.69</v>
      </c>
      <c r="G18" s="6">
        <v>279.52</v>
      </c>
      <c r="H18" s="6">
        <v>397.76</v>
      </c>
      <c r="I18" s="6">
        <v>544.12</v>
      </c>
      <c r="J18" s="6">
        <v>688.53</v>
      </c>
      <c r="K18" s="7">
        <v>1230.5899999999999</v>
      </c>
      <c r="L18">
        <v>1708.14</v>
      </c>
      <c r="M18">
        <v>2250.1999999999998</v>
      </c>
      <c r="N18">
        <v>2727.74</v>
      </c>
      <c r="O18">
        <v>3205.29</v>
      </c>
      <c r="P18">
        <v>3682.84</v>
      </c>
      <c r="Q18">
        <v>4160.38</v>
      </c>
    </row>
    <row r="19" spans="1:17" ht="15" customHeight="1" x14ac:dyDescent="0.25">
      <c r="A19" s="4" t="s">
        <v>36</v>
      </c>
      <c r="B19" s="4" t="s">
        <v>37</v>
      </c>
      <c r="C19" s="5">
        <f>IF($C$2="Capital",[1]Ceps!B18,[1]Ceps!C18)</f>
        <v>83024899</v>
      </c>
      <c r="D19" s="6">
        <v>96.98</v>
      </c>
      <c r="E19" s="6">
        <v>142.80000000000001</v>
      </c>
      <c r="F19" s="6">
        <v>224.61</v>
      </c>
      <c r="G19" s="6">
        <v>431.86</v>
      </c>
      <c r="H19" s="6">
        <v>615.67999999999995</v>
      </c>
      <c r="I19" s="6">
        <v>843.25</v>
      </c>
      <c r="J19" s="6">
        <v>1067.77</v>
      </c>
      <c r="K19" s="7">
        <v>1621.96</v>
      </c>
      <c r="L19">
        <v>2111.63</v>
      </c>
      <c r="M19">
        <v>2665.83</v>
      </c>
      <c r="N19">
        <v>3155.51</v>
      </c>
      <c r="O19">
        <v>3645.18</v>
      </c>
      <c r="P19">
        <v>4134.8500000000004</v>
      </c>
      <c r="Q19">
        <v>4624.53</v>
      </c>
    </row>
    <row r="20" spans="1:17" ht="15" customHeight="1" x14ac:dyDescent="0.25">
      <c r="A20" s="4" t="s">
        <v>38</v>
      </c>
      <c r="B20" s="4" t="s">
        <v>39</v>
      </c>
      <c r="C20" s="5">
        <f>IF($C$2="Capital",[1]Ceps!B19,[1]Ceps!C19)</f>
        <v>53900000</v>
      </c>
      <c r="D20" s="6">
        <v>34.67</v>
      </c>
      <c r="E20" s="6">
        <v>48.92</v>
      </c>
      <c r="F20" s="6">
        <v>63.16</v>
      </c>
      <c r="G20" s="6">
        <v>109.67</v>
      </c>
      <c r="H20" s="6">
        <v>152.56</v>
      </c>
      <c r="I20" s="6">
        <v>206.66</v>
      </c>
      <c r="J20" s="6">
        <v>259.81</v>
      </c>
      <c r="K20" s="7">
        <v>443</v>
      </c>
      <c r="L20">
        <v>558.01</v>
      </c>
      <c r="M20">
        <v>741.2</v>
      </c>
      <c r="N20">
        <v>856.22</v>
      </c>
      <c r="O20">
        <v>971.23</v>
      </c>
      <c r="P20">
        <v>1086.24</v>
      </c>
      <c r="Q20">
        <v>1201.25</v>
      </c>
    </row>
    <row r="21" spans="1:17" ht="15" customHeight="1" x14ac:dyDescent="0.25">
      <c r="A21" s="4" t="s">
        <v>40</v>
      </c>
      <c r="B21" s="4" t="s">
        <v>41</v>
      </c>
      <c r="C21" s="5">
        <f>IF($C$2="Capital",[1]Ceps!B20,[1]Ceps!C20)</f>
        <v>20396000</v>
      </c>
      <c r="D21" s="6">
        <v>33.880000000000003</v>
      </c>
      <c r="E21" s="6">
        <v>55.77</v>
      </c>
      <c r="F21" s="6">
        <v>97.5</v>
      </c>
      <c r="G21" s="6">
        <v>182.66</v>
      </c>
      <c r="H21" s="6">
        <v>259.41000000000003</v>
      </c>
      <c r="I21" s="6">
        <v>355.73</v>
      </c>
      <c r="J21" s="6">
        <v>450.39</v>
      </c>
      <c r="K21" s="7">
        <v>765.57</v>
      </c>
      <c r="L21">
        <v>1012.57</v>
      </c>
      <c r="M21">
        <v>1327.75</v>
      </c>
      <c r="N21">
        <v>1574.74</v>
      </c>
      <c r="O21">
        <v>1821.74</v>
      </c>
      <c r="P21">
        <v>2068.7399999999998</v>
      </c>
      <c r="Q21">
        <v>2315.7399999999998</v>
      </c>
    </row>
    <row r="22" spans="1:17" ht="15" customHeight="1" x14ac:dyDescent="0.25">
      <c r="A22" s="4" t="s">
        <v>42</v>
      </c>
      <c r="B22" s="4" t="s">
        <v>43</v>
      </c>
      <c r="C22" s="5">
        <f>IF($C$2="Capital",[1]Ceps!B21,[1]Ceps!C21)</f>
        <v>59162000</v>
      </c>
      <c r="D22" s="6">
        <v>98.06</v>
      </c>
      <c r="E22" s="6">
        <v>143.96</v>
      </c>
      <c r="F22" s="6">
        <v>226.42</v>
      </c>
      <c r="G22" s="6">
        <v>431.87</v>
      </c>
      <c r="H22" s="6">
        <v>615.57000000000005</v>
      </c>
      <c r="I22" s="6">
        <v>842.98</v>
      </c>
      <c r="J22" s="6">
        <v>1067.1300000000001</v>
      </c>
      <c r="K22" s="7">
        <v>1609.19</v>
      </c>
      <c r="L22">
        <v>2086.7399999999998</v>
      </c>
      <c r="M22">
        <v>2628.8</v>
      </c>
      <c r="N22">
        <v>3106.34</v>
      </c>
      <c r="O22">
        <v>3583.89</v>
      </c>
      <c r="P22">
        <v>4061.43</v>
      </c>
      <c r="Q22">
        <v>4538.9799999999996</v>
      </c>
    </row>
    <row r="23" spans="1:17" ht="15" customHeight="1" x14ac:dyDescent="0.25">
      <c r="A23" s="4" t="s">
        <v>44</v>
      </c>
      <c r="B23" s="4" t="s">
        <v>45</v>
      </c>
      <c r="C23" s="5">
        <f>IF($C$2="Capital",[1]Ceps!B22,[1]Ceps!C22)</f>
        <v>69340000</v>
      </c>
      <c r="D23" s="6">
        <v>98.61</v>
      </c>
      <c r="E23" s="6">
        <v>145.24</v>
      </c>
      <c r="F23" s="6">
        <v>228.48</v>
      </c>
      <c r="G23" s="6">
        <v>439.39</v>
      </c>
      <c r="H23" s="6">
        <v>626.37</v>
      </c>
      <c r="I23" s="6">
        <v>857.81</v>
      </c>
      <c r="J23" s="6">
        <v>1085.92</v>
      </c>
      <c r="K23" s="7">
        <v>1640.11</v>
      </c>
      <c r="L23">
        <v>2129.7800000000002</v>
      </c>
      <c r="M23">
        <v>2683.98</v>
      </c>
      <c r="N23">
        <v>3173.66</v>
      </c>
      <c r="O23">
        <v>3663.32</v>
      </c>
      <c r="P23">
        <v>4153</v>
      </c>
      <c r="Q23">
        <v>4642.68</v>
      </c>
    </row>
    <row r="24" spans="1:17" ht="15" customHeight="1" x14ac:dyDescent="0.25">
      <c r="A24" s="4" t="s">
        <v>46</v>
      </c>
      <c r="B24" s="4" t="s">
        <v>47</v>
      </c>
      <c r="C24" s="5">
        <f>IF($C$2="Capital",[1]Ceps!B23,[1]Ceps!C23)</f>
        <v>92990000</v>
      </c>
      <c r="D24" s="6">
        <v>116.27</v>
      </c>
      <c r="E24" s="6">
        <v>169.08</v>
      </c>
      <c r="F24" s="6">
        <v>266.88</v>
      </c>
      <c r="G24" s="6">
        <v>514.01</v>
      </c>
      <c r="H24" s="6">
        <v>733.08</v>
      </c>
      <c r="I24" s="6">
        <v>1004.24</v>
      </c>
      <c r="J24" s="6">
        <v>1271.52</v>
      </c>
      <c r="K24" s="7">
        <v>1954.08</v>
      </c>
      <c r="L24">
        <v>2572.12</v>
      </c>
      <c r="M24">
        <v>3254.69</v>
      </c>
      <c r="N24">
        <v>3872.73</v>
      </c>
      <c r="O24">
        <v>4490.7700000000004</v>
      </c>
      <c r="P24">
        <v>5108.82</v>
      </c>
      <c r="Q24">
        <v>5726.87</v>
      </c>
    </row>
    <row r="25" spans="1:17" ht="15" customHeight="1" x14ac:dyDescent="0.25">
      <c r="A25" s="4" t="s">
        <v>48</v>
      </c>
      <c r="B25" s="4" t="s">
        <v>49</v>
      </c>
      <c r="C25" s="5">
        <f>IF($C$2="Capital",[1]Ceps!B24,[1]Ceps!C24)</f>
        <v>76860000</v>
      </c>
      <c r="D25" s="6">
        <v>37.020000000000003</v>
      </c>
      <c r="E25" s="6">
        <v>52.41</v>
      </c>
      <c r="F25" s="6">
        <v>67.77</v>
      </c>
      <c r="G25" s="6">
        <v>118.05</v>
      </c>
      <c r="H25" s="6">
        <v>164.34</v>
      </c>
      <c r="I25" s="6">
        <v>222.75</v>
      </c>
      <c r="J25" s="6">
        <v>280.07</v>
      </c>
      <c r="K25" s="7">
        <v>556.66999999999996</v>
      </c>
      <c r="L25">
        <v>765.09</v>
      </c>
      <c r="M25">
        <v>1041.69</v>
      </c>
      <c r="N25">
        <v>1250.1300000000001</v>
      </c>
      <c r="O25">
        <v>1458.55</v>
      </c>
      <c r="P25">
        <v>1666.97</v>
      </c>
      <c r="Q25">
        <v>1875.39</v>
      </c>
    </row>
    <row r="26" spans="1:17" ht="15" customHeight="1" x14ac:dyDescent="0.25">
      <c r="A26" s="4" t="s">
        <v>50</v>
      </c>
      <c r="B26" s="4" t="s">
        <v>51</v>
      </c>
      <c r="C26" s="5">
        <f>IF($C$2="Capital",[1]Ceps!B25,[1]Ceps!C25)</f>
        <v>88138100</v>
      </c>
      <c r="D26" s="6">
        <v>35.520000000000003</v>
      </c>
      <c r="E26" s="6">
        <v>50.22</v>
      </c>
      <c r="F26" s="6">
        <v>64.84</v>
      </c>
      <c r="G26" s="6">
        <v>112.73</v>
      </c>
      <c r="H26" s="6">
        <v>156.86000000000001</v>
      </c>
      <c r="I26" s="6">
        <v>212.53</v>
      </c>
      <c r="J26" s="6">
        <v>267.19</v>
      </c>
      <c r="K26" s="7">
        <v>542.98</v>
      </c>
      <c r="L26">
        <v>750.57</v>
      </c>
      <c r="M26">
        <v>1026.3399999999999</v>
      </c>
      <c r="N26">
        <v>1233.93</v>
      </c>
      <c r="O26">
        <v>1441.52</v>
      </c>
      <c r="P26">
        <v>1649.11</v>
      </c>
      <c r="Q26">
        <v>1856.7</v>
      </c>
    </row>
    <row r="27" spans="1:17" ht="15" customHeight="1" x14ac:dyDescent="0.25">
      <c r="A27" s="4" t="s">
        <v>52</v>
      </c>
      <c r="B27" s="4" t="s">
        <v>53</v>
      </c>
      <c r="C27" s="5">
        <f>IF($C$2="Capital",[1]Ceps!B26,[1]Ceps!C26)</f>
        <v>49120000</v>
      </c>
      <c r="D27" s="6">
        <v>95.65</v>
      </c>
      <c r="E27" s="6">
        <v>140.32</v>
      </c>
      <c r="F27" s="6">
        <v>220.67</v>
      </c>
      <c r="G27" s="6">
        <v>420.76</v>
      </c>
      <c r="H27" s="6">
        <v>599.82000000000005</v>
      </c>
      <c r="I27" s="6">
        <v>821.52</v>
      </c>
      <c r="J27" s="6">
        <v>1040.3800000000001</v>
      </c>
      <c r="K27" s="7">
        <v>1582.44</v>
      </c>
      <c r="L27">
        <v>2059.9899999999998</v>
      </c>
      <c r="M27">
        <v>2602.04</v>
      </c>
      <c r="N27">
        <v>3079.59</v>
      </c>
      <c r="O27">
        <v>3557.14</v>
      </c>
      <c r="P27">
        <v>4034.68</v>
      </c>
      <c r="Q27">
        <v>4512.2299999999996</v>
      </c>
    </row>
    <row r="28" spans="1:17" ht="15" customHeight="1" x14ac:dyDescent="0.25">
      <c r="A28" s="4" t="s">
        <v>54</v>
      </c>
      <c r="B28" s="4" t="s">
        <v>55</v>
      </c>
      <c r="C28" s="5" t="str">
        <f>IF($C$2="Capital",[1]Ceps!B27,[1]Ceps!C27)</f>
        <v>04474970</v>
      </c>
      <c r="D28" s="6">
        <v>33.49</v>
      </c>
      <c r="E28" s="6">
        <v>48.51</v>
      </c>
      <c r="F28" s="6">
        <v>62.58</v>
      </c>
      <c r="G28" s="6">
        <v>108.64</v>
      </c>
      <c r="H28" s="6">
        <v>151.08000000000001</v>
      </c>
      <c r="I28" s="6">
        <v>204.65</v>
      </c>
      <c r="J28" s="6">
        <v>257.26</v>
      </c>
      <c r="K28" s="7">
        <v>518.67999999999995</v>
      </c>
      <c r="L28">
        <v>711.91</v>
      </c>
      <c r="M28">
        <v>973.32</v>
      </c>
      <c r="N28">
        <v>1166.55</v>
      </c>
      <c r="O28">
        <v>1359.78</v>
      </c>
      <c r="P28">
        <v>1553.01</v>
      </c>
      <c r="Q28">
        <v>1746.24</v>
      </c>
    </row>
    <row r="29" spans="1:17" ht="15" customHeight="1" x14ac:dyDescent="0.25">
      <c r="A29" s="4" t="s">
        <v>56</v>
      </c>
      <c r="B29" s="4" t="s">
        <v>57</v>
      </c>
      <c r="C29" s="5">
        <f>IF($C$2="Capital",[1]Ceps!B28,[1]Ceps!C28)</f>
        <v>77470000</v>
      </c>
      <c r="D29" s="6">
        <v>71.69</v>
      </c>
      <c r="E29" s="6">
        <v>111.27</v>
      </c>
      <c r="F29" s="6">
        <v>179.6</v>
      </c>
      <c r="G29" s="6">
        <v>344.28</v>
      </c>
      <c r="H29" s="6">
        <v>490.43</v>
      </c>
      <c r="I29" s="6">
        <v>671.37</v>
      </c>
      <c r="J29" s="6">
        <v>849.98</v>
      </c>
      <c r="K29" s="7">
        <v>1332.52</v>
      </c>
      <c r="L29">
        <v>1750.54</v>
      </c>
      <c r="M29">
        <v>2233.08</v>
      </c>
      <c r="N29">
        <v>2651.1</v>
      </c>
      <c r="O29">
        <v>3069.12</v>
      </c>
      <c r="P29">
        <v>3487.13</v>
      </c>
      <c r="Q29">
        <v>3905.15</v>
      </c>
    </row>
    <row r="30" spans="1:17" ht="15" customHeight="1" x14ac:dyDescent="0.25"/>
  </sheetData>
  <autoFilter ref="A2:C2" xr:uid="{DBBFB04E-3C0F-4BA2-A5BB-2875C3B74A4A}">
    <sortState xmlns:xlrd2="http://schemas.microsoft.com/office/spreadsheetml/2017/richdata2" ref="A3:C29">
      <sortCondition ref="A2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650-B1A4-4CF2-937C-E8C78A7AA829}">
  <sheetPr codeName="Planilha4"/>
  <dimension ref="A1:Q30"/>
  <sheetViews>
    <sheetView showGridLines="0" workbookViewId="0">
      <selection activeCell="G10" sqref="G10"/>
    </sheetView>
  </sheetViews>
  <sheetFormatPr defaultRowHeight="15" x14ac:dyDescent="0.25"/>
  <cols>
    <col min="2" max="2" width="14.28515625" bestFit="1" customWidth="1"/>
    <col min="4" max="10" width="9.140625" style="8"/>
    <col min="11" max="11" width="10.7109375" bestFit="1" customWidth="1"/>
  </cols>
  <sheetData>
    <row r="1" spans="1:17" x14ac:dyDescent="0.25">
      <c r="D1" s="1">
        <v>1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40</v>
      </c>
      <c r="L1" s="1">
        <v>50</v>
      </c>
      <c r="M1" s="1">
        <v>60</v>
      </c>
      <c r="N1" s="1">
        <v>70</v>
      </c>
      <c r="O1" s="1">
        <v>80</v>
      </c>
      <c r="P1" s="1">
        <v>90</v>
      </c>
      <c r="Q1" s="1">
        <v>100</v>
      </c>
    </row>
    <row r="2" spans="1:17" x14ac:dyDescent="0.25">
      <c r="A2" t="s">
        <v>0</v>
      </c>
      <c r="B2" t="s">
        <v>1</v>
      </c>
      <c r="C2" s="2" t="s">
        <v>2</v>
      </c>
      <c r="D2" s="9" t="s">
        <v>58</v>
      </c>
      <c r="E2" s="9" t="s">
        <v>58</v>
      </c>
      <c r="F2" s="9" t="s">
        <v>58</v>
      </c>
      <c r="G2" s="9" t="s">
        <v>58</v>
      </c>
      <c r="H2" s="9" t="s">
        <v>58</v>
      </c>
      <c r="I2" s="9" t="s">
        <v>58</v>
      </c>
      <c r="J2" s="9" t="s">
        <v>58</v>
      </c>
      <c r="K2" s="9" t="s">
        <v>58</v>
      </c>
      <c r="L2" s="9" t="s">
        <v>58</v>
      </c>
      <c r="M2" s="9" t="s">
        <v>58</v>
      </c>
      <c r="N2" s="9" t="s">
        <v>58</v>
      </c>
      <c r="O2" s="9" t="s">
        <v>58</v>
      </c>
      <c r="P2" s="9" t="s">
        <v>58</v>
      </c>
      <c r="Q2" s="9" t="s">
        <v>58</v>
      </c>
    </row>
    <row r="3" spans="1:17" ht="15" customHeight="1" x14ac:dyDescent="0.25">
      <c r="A3" s="4" t="s">
        <v>4</v>
      </c>
      <c r="B3" s="4" t="s">
        <v>5</v>
      </c>
      <c r="C3" s="5">
        <f>IF($C$2="Capital",[1]Ceps!B2,[1]Ceps!C2)</f>
        <v>69925000</v>
      </c>
      <c r="D3" s="6">
        <v>123.46</v>
      </c>
      <c r="E3" s="6">
        <v>177.86</v>
      </c>
      <c r="F3" s="6">
        <v>275.81</v>
      </c>
      <c r="G3" s="6">
        <v>511.17</v>
      </c>
      <c r="H3" s="6">
        <v>725.78</v>
      </c>
      <c r="I3" s="6">
        <v>1026.99</v>
      </c>
      <c r="J3" s="6">
        <v>1280.3800000000001</v>
      </c>
      <c r="K3" s="7">
        <v>1775.75</v>
      </c>
      <c r="L3">
        <v>2217.35</v>
      </c>
      <c r="M3">
        <v>2658.96</v>
      </c>
      <c r="N3">
        <v>3100.57</v>
      </c>
      <c r="O3">
        <v>3542.17</v>
      </c>
      <c r="P3">
        <v>3983.77</v>
      </c>
      <c r="Q3">
        <v>4425.3900000000003</v>
      </c>
    </row>
    <row r="4" spans="1:17" ht="15" customHeight="1" x14ac:dyDescent="0.25">
      <c r="A4" s="4" t="s">
        <v>6</v>
      </c>
      <c r="B4" s="4" t="s">
        <v>7</v>
      </c>
      <c r="C4" s="5">
        <f>IF($C$2="Capital",[1]Ceps!B3,[1]Ceps!C3)</f>
        <v>57480000</v>
      </c>
      <c r="D4" s="6">
        <v>83.66</v>
      </c>
      <c r="E4" s="6">
        <v>122.82</v>
      </c>
      <c r="F4" s="6">
        <v>190.6</v>
      </c>
      <c r="G4" s="6">
        <v>340.06</v>
      </c>
      <c r="H4" s="6">
        <v>483.16</v>
      </c>
      <c r="I4" s="6">
        <v>658.17</v>
      </c>
      <c r="J4" s="6">
        <v>820.78</v>
      </c>
      <c r="K4" s="7">
        <v>1158.01</v>
      </c>
      <c r="L4">
        <v>1441.48</v>
      </c>
      <c r="M4">
        <v>1724.96</v>
      </c>
      <c r="N4">
        <v>2008.43</v>
      </c>
      <c r="O4">
        <v>2291.9</v>
      </c>
      <c r="P4">
        <v>2575.38</v>
      </c>
      <c r="Q4">
        <v>2858.85</v>
      </c>
    </row>
    <row r="5" spans="1:17" ht="15" customHeight="1" x14ac:dyDescent="0.25">
      <c r="A5" s="4" t="s">
        <v>8</v>
      </c>
      <c r="B5" s="4" t="s">
        <v>9</v>
      </c>
      <c r="C5" s="5">
        <f>IF($C$2="Capital",[1]Ceps!B4,[1]Ceps!C4)</f>
        <v>68925001</v>
      </c>
      <c r="D5" s="6">
        <v>83.66</v>
      </c>
      <c r="E5" s="6">
        <v>122.82</v>
      </c>
      <c r="F5" s="6">
        <v>190.6</v>
      </c>
      <c r="G5" s="6">
        <v>340.06</v>
      </c>
      <c r="H5" s="6">
        <v>483.16</v>
      </c>
      <c r="I5" s="6">
        <v>658.17</v>
      </c>
      <c r="J5" s="6">
        <v>820.78</v>
      </c>
      <c r="K5" s="7">
        <v>1158.01</v>
      </c>
      <c r="L5">
        <v>1441.48</v>
      </c>
      <c r="M5">
        <v>1724.96</v>
      </c>
      <c r="N5">
        <v>2008.43</v>
      </c>
      <c r="O5">
        <v>2291.9</v>
      </c>
      <c r="P5">
        <v>2575.38</v>
      </c>
      <c r="Q5">
        <v>2858.85</v>
      </c>
    </row>
    <row r="6" spans="1:17" ht="15" customHeight="1" x14ac:dyDescent="0.25">
      <c r="A6" s="4" t="s">
        <v>10</v>
      </c>
      <c r="B6" s="4" t="s">
        <v>11</v>
      </c>
      <c r="C6" s="5">
        <f>IF($C$2="Capital",[1]Ceps!B5,[1]Ceps!C5)</f>
        <v>69190000</v>
      </c>
      <c r="D6" s="6">
        <v>91.55</v>
      </c>
      <c r="E6" s="6">
        <v>130.71</v>
      </c>
      <c r="F6" s="6">
        <v>198.49</v>
      </c>
      <c r="G6" s="6">
        <v>347.96</v>
      </c>
      <c r="H6" s="6">
        <v>491.05</v>
      </c>
      <c r="I6" s="6">
        <v>666.06</v>
      </c>
      <c r="J6" s="6">
        <v>828.68</v>
      </c>
      <c r="K6" s="7">
        <v>1165.9000000000001</v>
      </c>
      <c r="L6">
        <v>1449.38</v>
      </c>
      <c r="M6">
        <v>1732.85</v>
      </c>
      <c r="N6">
        <v>2016.32</v>
      </c>
      <c r="O6">
        <v>2299.8000000000002</v>
      </c>
      <c r="P6">
        <v>2583.27</v>
      </c>
      <c r="Q6">
        <v>2866.74</v>
      </c>
    </row>
    <row r="7" spans="1:17" ht="15" customHeight="1" x14ac:dyDescent="0.25">
      <c r="A7" s="4" t="s">
        <v>12</v>
      </c>
      <c r="B7" s="4" t="s">
        <v>13</v>
      </c>
      <c r="C7" s="5">
        <f>IF($C$2="Capital",[1]Ceps!B6,[1]Ceps!C6)</f>
        <v>42600000</v>
      </c>
      <c r="D7" s="6">
        <v>35.869999999999997</v>
      </c>
      <c r="E7" s="6">
        <v>67.290000000000006</v>
      </c>
      <c r="F7" s="6">
        <v>118.48</v>
      </c>
      <c r="G7" s="6">
        <v>212.02</v>
      </c>
      <c r="H7" s="6">
        <v>301.67</v>
      </c>
      <c r="I7" s="6">
        <v>411.27</v>
      </c>
      <c r="J7" s="6">
        <v>513.13</v>
      </c>
      <c r="K7" s="7">
        <v>744.57</v>
      </c>
      <c r="L7">
        <v>922.25</v>
      </c>
      <c r="M7">
        <v>1099.9100000000001</v>
      </c>
      <c r="N7">
        <v>1277.5899999999999</v>
      </c>
      <c r="O7">
        <v>1455.27</v>
      </c>
      <c r="P7">
        <v>1632.95</v>
      </c>
      <c r="Q7">
        <v>1810.62</v>
      </c>
    </row>
    <row r="8" spans="1:17" ht="15" customHeight="1" x14ac:dyDescent="0.25">
      <c r="A8" s="4" t="s">
        <v>14</v>
      </c>
      <c r="B8" s="4" t="s">
        <v>15</v>
      </c>
      <c r="C8" s="5">
        <f>IF($C$2="Capital",[1]Ceps!B7,[1]Ceps!C7)</f>
        <v>61600001</v>
      </c>
      <c r="D8" s="6">
        <v>60.61</v>
      </c>
      <c r="E8" s="6">
        <v>95.12</v>
      </c>
      <c r="F8" s="6">
        <v>152.46</v>
      </c>
      <c r="G8" s="6">
        <v>272.27999999999997</v>
      </c>
      <c r="H8" s="6">
        <v>387.04</v>
      </c>
      <c r="I8" s="6">
        <v>527.38</v>
      </c>
      <c r="J8" s="6">
        <v>657.76</v>
      </c>
      <c r="K8" s="7">
        <v>938.84</v>
      </c>
      <c r="L8">
        <v>1166.1600000000001</v>
      </c>
      <c r="M8">
        <v>1393.47</v>
      </c>
      <c r="N8">
        <v>1620.8</v>
      </c>
      <c r="O8">
        <v>1848.11</v>
      </c>
      <c r="P8">
        <v>2075.4299999999998</v>
      </c>
      <c r="Q8">
        <v>2302.7399999999998</v>
      </c>
    </row>
    <row r="9" spans="1:17" ht="15" customHeight="1" x14ac:dyDescent="0.25">
      <c r="A9" s="4" t="s">
        <v>16</v>
      </c>
      <c r="B9" s="4" t="s">
        <v>17</v>
      </c>
      <c r="C9" s="5">
        <f>IF($C$2="Capital",[1]Ceps!B8,[1]Ceps!C8)</f>
        <v>71572000</v>
      </c>
      <c r="D9" s="6">
        <v>26.83</v>
      </c>
      <c r="E9" s="6">
        <v>53.66</v>
      </c>
      <c r="F9" s="6">
        <v>96.3</v>
      </c>
      <c r="G9" s="6">
        <v>173.41</v>
      </c>
      <c r="H9" s="6">
        <v>246.75</v>
      </c>
      <c r="I9" s="6">
        <v>337.54</v>
      </c>
      <c r="J9" s="6">
        <v>421.14</v>
      </c>
      <c r="K9" s="7">
        <v>620.69000000000005</v>
      </c>
      <c r="L9">
        <v>766.46</v>
      </c>
      <c r="M9">
        <v>912.25</v>
      </c>
      <c r="N9">
        <v>1058.02</v>
      </c>
      <c r="O9">
        <v>1203.81</v>
      </c>
      <c r="P9">
        <v>1349.58</v>
      </c>
      <c r="Q9">
        <v>1495.37</v>
      </c>
    </row>
    <row r="10" spans="1:17" ht="15" customHeight="1" x14ac:dyDescent="0.25">
      <c r="A10" s="4" t="s">
        <v>18</v>
      </c>
      <c r="B10" s="4" t="s">
        <v>19</v>
      </c>
      <c r="C10" s="5">
        <f>IF($C$2="Capital",[1]Ceps!B9,[1]Ceps!C9)</f>
        <v>29185000</v>
      </c>
      <c r="D10" s="6">
        <v>26.83</v>
      </c>
      <c r="E10" s="6">
        <v>53.66</v>
      </c>
      <c r="F10" s="6">
        <v>96.3</v>
      </c>
      <c r="G10" s="6">
        <v>164.62</v>
      </c>
      <c r="H10" s="6">
        <v>246.75</v>
      </c>
      <c r="I10" s="6">
        <v>337.54</v>
      </c>
      <c r="J10" s="6">
        <v>421.14</v>
      </c>
      <c r="K10" s="7">
        <v>620.69000000000005</v>
      </c>
      <c r="L10">
        <v>766.46</v>
      </c>
      <c r="M10">
        <v>912.25</v>
      </c>
      <c r="N10">
        <v>1058.02</v>
      </c>
      <c r="O10">
        <v>1203.81</v>
      </c>
      <c r="P10">
        <v>1349.58</v>
      </c>
      <c r="Q10">
        <v>1495.37</v>
      </c>
    </row>
    <row r="11" spans="1:17" ht="15" customHeight="1" x14ac:dyDescent="0.25">
      <c r="A11" s="4" t="s">
        <v>20</v>
      </c>
      <c r="B11" s="4" t="s">
        <v>21</v>
      </c>
      <c r="C11" s="5">
        <f>IF($C$2="Capital",[1]Ceps!B10,[1]Ceps!C10)</f>
        <v>72860001</v>
      </c>
      <c r="D11" s="6">
        <v>26.83</v>
      </c>
      <c r="E11" s="6">
        <v>53.66</v>
      </c>
      <c r="F11" s="6">
        <v>96.3</v>
      </c>
      <c r="G11" s="6">
        <v>164.62</v>
      </c>
      <c r="H11" s="6">
        <v>246.75</v>
      </c>
      <c r="I11" s="6">
        <v>337.54</v>
      </c>
      <c r="J11" s="6">
        <v>421.14</v>
      </c>
      <c r="K11" s="7">
        <v>620.69000000000005</v>
      </c>
      <c r="L11">
        <v>766.46</v>
      </c>
      <c r="M11">
        <v>912.25</v>
      </c>
      <c r="N11">
        <v>1058.02</v>
      </c>
      <c r="O11">
        <v>1203.81</v>
      </c>
      <c r="P11">
        <v>1349.58</v>
      </c>
      <c r="Q11">
        <v>1495.37</v>
      </c>
    </row>
    <row r="12" spans="1:17" ht="15" customHeight="1" x14ac:dyDescent="0.25">
      <c r="A12" s="4" t="s">
        <v>22</v>
      </c>
      <c r="B12" s="4" t="s">
        <v>23</v>
      </c>
      <c r="C12" s="5">
        <f>IF($C$2="Capital",[1]Ceps!B11,[1]Ceps!C11)</f>
        <v>65143000</v>
      </c>
      <c r="D12" s="6">
        <v>83.66</v>
      </c>
      <c r="E12" s="6">
        <v>122.82</v>
      </c>
      <c r="F12" s="6">
        <v>190.6</v>
      </c>
      <c r="G12" s="6">
        <v>322.92</v>
      </c>
      <c r="H12" s="6">
        <v>483.16</v>
      </c>
      <c r="I12" s="6">
        <v>658.17</v>
      </c>
      <c r="J12" s="6">
        <v>820.78</v>
      </c>
      <c r="K12" s="7">
        <v>1158.01</v>
      </c>
      <c r="L12">
        <v>1441.48</v>
      </c>
      <c r="M12">
        <v>1724.96</v>
      </c>
      <c r="N12">
        <v>2008.43</v>
      </c>
      <c r="O12">
        <v>2291.9</v>
      </c>
      <c r="P12">
        <v>2575.38</v>
      </c>
      <c r="Q12">
        <v>2858.85</v>
      </c>
    </row>
    <row r="13" spans="1:17" ht="15" customHeight="1" x14ac:dyDescent="0.25">
      <c r="A13" s="4" t="s">
        <v>24</v>
      </c>
      <c r="B13" s="4" t="s">
        <v>25</v>
      </c>
      <c r="C13" s="5">
        <f>IF($C$2="Capital",[1]Ceps!B12,[1]Ceps!C12)</f>
        <v>78195000</v>
      </c>
      <c r="D13" s="6">
        <v>32.729999999999997</v>
      </c>
      <c r="E13" s="6">
        <v>61.45</v>
      </c>
      <c r="F13" s="6">
        <v>108.41</v>
      </c>
      <c r="G13" s="6">
        <v>185.24</v>
      </c>
      <c r="H13" s="6">
        <v>277.58999999999997</v>
      </c>
      <c r="I13" s="6">
        <v>379.7</v>
      </c>
      <c r="J13" s="6">
        <v>473.71</v>
      </c>
      <c r="K13" s="7">
        <v>691.56</v>
      </c>
      <c r="L13">
        <v>855.65</v>
      </c>
      <c r="M13">
        <v>1019.73</v>
      </c>
      <c r="N13">
        <v>1183.82</v>
      </c>
      <c r="O13">
        <v>1347.9</v>
      </c>
      <c r="P13">
        <v>1511.99</v>
      </c>
      <c r="Q13">
        <v>1676.08</v>
      </c>
    </row>
    <row r="14" spans="1:17" ht="15" customHeight="1" x14ac:dyDescent="0.25">
      <c r="A14" s="4" t="s">
        <v>26</v>
      </c>
      <c r="B14" s="4" t="s">
        <v>27</v>
      </c>
      <c r="C14" s="5">
        <f>IF($C$2="Capital",[1]Ceps!B13,[1]Ceps!C13)</f>
        <v>79130000</v>
      </c>
      <c r="D14" s="6">
        <v>26.83</v>
      </c>
      <c r="E14" s="6">
        <v>53.66</v>
      </c>
      <c r="F14" s="6">
        <v>96.3</v>
      </c>
      <c r="G14" s="6">
        <v>164.62</v>
      </c>
      <c r="H14" s="6">
        <v>246.75</v>
      </c>
      <c r="I14" s="6">
        <v>337.54</v>
      </c>
      <c r="J14" s="6">
        <v>421.14</v>
      </c>
      <c r="K14" s="7">
        <v>620.69000000000005</v>
      </c>
      <c r="L14">
        <v>766.46</v>
      </c>
      <c r="M14">
        <v>912.25</v>
      </c>
      <c r="N14">
        <v>1058.02</v>
      </c>
      <c r="O14">
        <v>1203.81</v>
      </c>
      <c r="P14">
        <v>1349.58</v>
      </c>
      <c r="Q14">
        <v>1495.37</v>
      </c>
    </row>
    <row r="15" spans="1:17" ht="15" customHeight="1" x14ac:dyDescent="0.25">
      <c r="A15" s="4" t="s">
        <v>28</v>
      </c>
      <c r="B15" s="4" t="s">
        <v>29</v>
      </c>
      <c r="C15" s="5">
        <f>IF($C$2="Capital",[1]Ceps!B14,[1]Ceps!C14)</f>
        <v>32450000</v>
      </c>
      <c r="D15" s="6">
        <v>26.67</v>
      </c>
      <c r="E15" s="6">
        <v>53.6</v>
      </c>
      <c r="F15" s="6">
        <v>96.38</v>
      </c>
      <c r="G15" s="6">
        <v>165.08</v>
      </c>
      <c r="H15" s="6">
        <v>247.82</v>
      </c>
      <c r="I15" s="6">
        <v>339.44</v>
      </c>
      <c r="J15" s="6">
        <v>424.07</v>
      </c>
      <c r="K15" s="7">
        <v>627.83000000000004</v>
      </c>
      <c r="L15">
        <v>774.76</v>
      </c>
      <c r="M15">
        <v>921.7</v>
      </c>
      <c r="N15">
        <v>1068.6500000000001</v>
      </c>
      <c r="O15">
        <v>1215.5899999999999</v>
      </c>
      <c r="P15">
        <v>1362.52</v>
      </c>
      <c r="Q15">
        <v>1509.47</v>
      </c>
    </row>
    <row r="16" spans="1:17" ht="15" customHeight="1" x14ac:dyDescent="0.25">
      <c r="A16" s="4" t="s">
        <v>30</v>
      </c>
      <c r="B16" s="4" t="s">
        <v>31</v>
      </c>
      <c r="C16" s="5">
        <f>IF($C$2="Capital",[1]Ceps!B15,[1]Ceps!C15)</f>
        <v>66910000</v>
      </c>
      <c r="D16" s="6">
        <v>60.61</v>
      </c>
      <c r="E16" s="6">
        <v>95.12</v>
      </c>
      <c r="F16" s="6">
        <v>152.46</v>
      </c>
      <c r="G16" s="6">
        <v>258.55</v>
      </c>
      <c r="H16" s="6">
        <v>387.04</v>
      </c>
      <c r="I16" s="6">
        <v>527.38</v>
      </c>
      <c r="J16" s="6">
        <v>657.76</v>
      </c>
      <c r="K16" s="7">
        <v>938.84</v>
      </c>
      <c r="L16">
        <v>1166.1600000000001</v>
      </c>
      <c r="M16">
        <v>1393.47</v>
      </c>
      <c r="N16">
        <v>1620.8</v>
      </c>
      <c r="O16">
        <v>1848.11</v>
      </c>
      <c r="P16">
        <v>2075.4299999999998</v>
      </c>
      <c r="Q16">
        <v>2302.7399999999998</v>
      </c>
    </row>
    <row r="17" spans="1:17" ht="15" customHeight="1" x14ac:dyDescent="0.25">
      <c r="A17" s="4" t="s">
        <v>32</v>
      </c>
      <c r="B17" s="4" t="s">
        <v>33</v>
      </c>
      <c r="C17" s="5">
        <f>IF($C$2="Capital",[1]Ceps!B16,[1]Ceps!C16)</f>
        <v>58117000</v>
      </c>
      <c r="D17" s="6">
        <v>83.66</v>
      </c>
      <c r="E17" s="6">
        <v>122.82</v>
      </c>
      <c r="F17" s="6">
        <v>190.6</v>
      </c>
      <c r="G17" s="6">
        <v>322.92</v>
      </c>
      <c r="H17" s="6">
        <v>483.16</v>
      </c>
      <c r="I17" s="6">
        <v>658.17</v>
      </c>
      <c r="J17" s="6">
        <v>820.78</v>
      </c>
      <c r="K17" s="7">
        <v>1158.01</v>
      </c>
      <c r="L17">
        <v>1441.48</v>
      </c>
      <c r="M17">
        <v>1724.96</v>
      </c>
      <c r="N17">
        <v>2008.43</v>
      </c>
      <c r="O17">
        <v>2291.9</v>
      </c>
      <c r="P17">
        <v>2575.38</v>
      </c>
      <c r="Q17">
        <v>2858.85</v>
      </c>
    </row>
    <row r="18" spans="1:17" ht="15" customHeight="1" x14ac:dyDescent="0.25">
      <c r="A18" s="4" t="s">
        <v>34</v>
      </c>
      <c r="B18" s="4" t="s">
        <v>35</v>
      </c>
      <c r="C18" s="5">
        <f>IF($C$2="Capital",[1]Ceps!B17,[1]Ceps!C17)</f>
        <v>64100000</v>
      </c>
      <c r="D18" s="6">
        <v>83.66</v>
      </c>
      <c r="E18" s="6">
        <v>122.82</v>
      </c>
      <c r="F18" s="6">
        <v>190.6</v>
      </c>
      <c r="G18" s="6">
        <v>322.92</v>
      </c>
      <c r="H18" s="6">
        <v>483.16</v>
      </c>
      <c r="I18" s="6">
        <v>658.17</v>
      </c>
      <c r="J18" s="6">
        <v>820.78</v>
      </c>
      <c r="K18" s="7">
        <v>1158.01</v>
      </c>
      <c r="L18">
        <v>1441.48</v>
      </c>
      <c r="M18">
        <v>1724.96</v>
      </c>
      <c r="N18">
        <v>2008.43</v>
      </c>
      <c r="O18">
        <v>2291.9</v>
      </c>
      <c r="P18">
        <v>2575.38</v>
      </c>
      <c r="Q18">
        <v>2858.85</v>
      </c>
    </row>
    <row r="19" spans="1:17" ht="15" customHeight="1" x14ac:dyDescent="0.25">
      <c r="A19" s="4" t="s">
        <v>36</v>
      </c>
      <c r="B19" s="4" t="s">
        <v>37</v>
      </c>
      <c r="C19" s="5">
        <f>IF($C$2="Capital",[1]Ceps!B18,[1]Ceps!C18)</f>
        <v>83024899</v>
      </c>
      <c r="D19" s="6">
        <v>26.67</v>
      </c>
      <c r="E19" s="6">
        <v>53.6</v>
      </c>
      <c r="F19" s="6">
        <v>96.38</v>
      </c>
      <c r="G19" s="6">
        <v>165.08</v>
      </c>
      <c r="H19" s="6">
        <v>247.82</v>
      </c>
      <c r="I19" s="6">
        <v>339.44</v>
      </c>
      <c r="J19" s="6">
        <v>424.07</v>
      </c>
      <c r="K19" s="7">
        <v>627.83000000000004</v>
      </c>
      <c r="L19">
        <v>774.76</v>
      </c>
      <c r="M19">
        <v>921.7</v>
      </c>
      <c r="N19">
        <v>1068.6500000000001</v>
      </c>
      <c r="O19">
        <v>1215.5899999999999</v>
      </c>
      <c r="P19">
        <v>1362.52</v>
      </c>
      <c r="Q19">
        <v>1509.47</v>
      </c>
    </row>
    <row r="20" spans="1:17" ht="15" customHeight="1" x14ac:dyDescent="0.25">
      <c r="A20" s="4" t="s">
        <v>38</v>
      </c>
      <c r="B20" s="4" t="s">
        <v>39</v>
      </c>
      <c r="C20" s="5">
        <f>IF($C$2="Capital",[1]Ceps!B19,[1]Ceps!C19)</f>
        <v>53900000</v>
      </c>
      <c r="D20" s="6">
        <v>60.61</v>
      </c>
      <c r="E20" s="6">
        <v>95.12</v>
      </c>
      <c r="F20" s="6">
        <v>152.46</v>
      </c>
      <c r="G20" s="6">
        <v>258.55</v>
      </c>
      <c r="H20" s="6">
        <v>387.04</v>
      </c>
      <c r="I20" s="6">
        <v>527.38</v>
      </c>
      <c r="J20" s="6">
        <v>657.76</v>
      </c>
      <c r="K20" s="7">
        <v>938.84</v>
      </c>
      <c r="L20">
        <v>1166.1600000000001</v>
      </c>
      <c r="M20">
        <v>1393.47</v>
      </c>
      <c r="N20">
        <v>1620.8</v>
      </c>
      <c r="O20">
        <v>1848.11</v>
      </c>
      <c r="P20">
        <v>2075.4299999999998</v>
      </c>
      <c r="Q20">
        <v>2302.7399999999998</v>
      </c>
    </row>
    <row r="21" spans="1:17" ht="15" customHeight="1" x14ac:dyDescent="0.25">
      <c r="A21" s="4" t="s">
        <v>40</v>
      </c>
      <c r="B21" s="4" t="s">
        <v>41</v>
      </c>
      <c r="C21" s="5">
        <f>IF($C$2="Capital",[1]Ceps!B20,[1]Ceps!C20)</f>
        <v>20396000</v>
      </c>
      <c r="D21" s="6">
        <v>26.67</v>
      </c>
      <c r="E21" s="6">
        <v>53.6</v>
      </c>
      <c r="F21" s="6">
        <v>96.38</v>
      </c>
      <c r="G21" s="6">
        <v>165.08</v>
      </c>
      <c r="H21" s="6">
        <v>247.82</v>
      </c>
      <c r="I21" s="6">
        <v>339.44</v>
      </c>
      <c r="J21" s="6">
        <v>424.07</v>
      </c>
      <c r="K21" s="7">
        <v>627.83000000000004</v>
      </c>
      <c r="L21">
        <v>774.76</v>
      </c>
      <c r="M21">
        <v>921.7</v>
      </c>
      <c r="N21">
        <v>1068.6500000000001</v>
      </c>
      <c r="O21">
        <v>1215.5899999999999</v>
      </c>
      <c r="P21">
        <v>1362.52</v>
      </c>
      <c r="Q21">
        <v>1509.47</v>
      </c>
    </row>
    <row r="22" spans="1:17" ht="15" customHeight="1" x14ac:dyDescent="0.25">
      <c r="A22" s="4" t="s">
        <v>42</v>
      </c>
      <c r="B22" s="4" t="s">
        <v>43</v>
      </c>
      <c r="C22" s="5">
        <f>IF($C$2="Capital",[1]Ceps!B21,[1]Ceps!C21)</f>
        <v>59162000</v>
      </c>
      <c r="D22" s="6">
        <v>83.66</v>
      </c>
      <c r="E22" s="6">
        <v>122.82</v>
      </c>
      <c r="F22" s="6">
        <v>190.6</v>
      </c>
      <c r="G22" s="6">
        <v>322.92</v>
      </c>
      <c r="H22" s="6">
        <v>483.16</v>
      </c>
      <c r="I22" s="6">
        <v>658.17</v>
      </c>
      <c r="J22" s="6">
        <v>820.78</v>
      </c>
      <c r="K22" s="7">
        <v>1158.01</v>
      </c>
      <c r="L22">
        <v>1441.48</v>
      </c>
      <c r="M22">
        <v>1724.96</v>
      </c>
      <c r="N22">
        <v>2008.43</v>
      </c>
      <c r="O22">
        <v>2291.9</v>
      </c>
      <c r="P22">
        <v>2575.38</v>
      </c>
      <c r="Q22">
        <v>2858.85</v>
      </c>
    </row>
    <row r="23" spans="1:17" ht="15" customHeight="1" x14ac:dyDescent="0.25">
      <c r="A23" s="4" t="s">
        <v>44</v>
      </c>
      <c r="B23" s="4" t="s">
        <v>45</v>
      </c>
      <c r="C23" s="5">
        <f>IF($C$2="Capital",[1]Ceps!B22,[1]Ceps!C22)</f>
        <v>69340000</v>
      </c>
      <c r="D23" s="6">
        <v>99.86</v>
      </c>
      <c r="E23" s="6">
        <v>144.04</v>
      </c>
      <c r="F23" s="6">
        <v>223.71</v>
      </c>
      <c r="G23" s="6">
        <v>378.78</v>
      </c>
      <c r="H23" s="6">
        <v>566.51</v>
      </c>
      <c r="I23" s="6">
        <v>771.58</v>
      </c>
      <c r="J23" s="6">
        <v>962.08</v>
      </c>
      <c r="K23" s="7">
        <v>1347.95</v>
      </c>
      <c r="L23">
        <v>1680.04</v>
      </c>
      <c r="M23">
        <v>2012.15</v>
      </c>
      <c r="N23">
        <v>2344.2600000000002</v>
      </c>
      <c r="O23">
        <v>2676.35</v>
      </c>
      <c r="P23">
        <v>3008.46</v>
      </c>
      <c r="Q23">
        <v>3340.56</v>
      </c>
    </row>
    <row r="24" spans="1:17" ht="15" customHeight="1" x14ac:dyDescent="0.25">
      <c r="A24" s="4" t="s">
        <v>46</v>
      </c>
      <c r="B24" s="4" t="s">
        <v>47</v>
      </c>
      <c r="C24" s="5">
        <f>IF($C$2="Capital",[1]Ceps!B23,[1]Ceps!C23)</f>
        <v>92990000</v>
      </c>
      <c r="D24" s="6">
        <v>26.67</v>
      </c>
      <c r="E24" s="6">
        <v>53.6</v>
      </c>
      <c r="F24" s="6">
        <v>96.38</v>
      </c>
      <c r="G24" s="6">
        <v>165.08</v>
      </c>
      <c r="H24" s="6">
        <v>247.82</v>
      </c>
      <c r="I24" s="6">
        <v>339.44</v>
      </c>
      <c r="J24" s="6">
        <v>424.07</v>
      </c>
      <c r="K24" s="7">
        <v>627.83000000000004</v>
      </c>
      <c r="L24">
        <v>774.76</v>
      </c>
      <c r="M24">
        <v>921.7</v>
      </c>
      <c r="N24">
        <v>1068.6500000000001</v>
      </c>
      <c r="O24">
        <v>1215.5899999999999</v>
      </c>
      <c r="P24">
        <v>1362.52</v>
      </c>
      <c r="Q24">
        <v>1509.47</v>
      </c>
    </row>
    <row r="25" spans="1:17" ht="15" customHeight="1" x14ac:dyDescent="0.25">
      <c r="A25" s="4" t="s">
        <v>48</v>
      </c>
      <c r="B25" s="4" t="s">
        <v>49</v>
      </c>
      <c r="C25" s="5">
        <f>IF($C$2="Capital",[1]Ceps!B24,[1]Ceps!C24)</f>
        <v>76860000</v>
      </c>
      <c r="D25" s="6">
        <v>83.66</v>
      </c>
      <c r="E25" s="6">
        <v>122.82</v>
      </c>
      <c r="F25" s="6">
        <v>190.6</v>
      </c>
      <c r="G25" s="6">
        <v>322.92</v>
      </c>
      <c r="H25" s="6">
        <v>483.16</v>
      </c>
      <c r="I25" s="6">
        <v>658.17</v>
      </c>
      <c r="J25" s="6">
        <v>820.78</v>
      </c>
      <c r="K25" s="7">
        <v>1158.01</v>
      </c>
      <c r="L25">
        <v>1441.48</v>
      </c>
      <c r="M25">
        <v>1724.96</v>
      </c>
      <c r="N25">
        <v>2008.43</v>
      </c>
      <c r="O25">
        <v>2291.9</v>
      </c>
      <c r="P25">
        <v>2575.38</v>
      </c>
      <c r="Q25">
        <v>2858.85</v>
      </c>
    </row>
    <row r="26" spans="1:17" ht="15" customHeight="1" x14ac:dyDescent="0.25">
      <c r="A26" s="4" t="s">
        <v>50</v>
      </c>
      <c r="B26" s="4" t="s">
        <v>51</v>
      </c>
      <c r="C26" s="5">
        <f>IF($C$2="Capital",[1]Ceps!B25,[1]Ceps!C25)</f>
        <v>88138100</v>
      </c>
      <c r="D26" s="6">
        <v>26.67</v>
      </c>
      <c r="E26" s="6">
        <v>53.6</v>
      </c>
      <c r="F26" s="6">
        <v>96.38</v>
      </c>
      <c r="G26" s="6">
        <v>165.08</v>
      </c>
      <c r="H26" s="6">
        <v>247.82</v>
      </c>
      <c r="I26" s="6">
        <v>339.44</v>
      </c>
      <c r="J26" s="6">
        <v>424.07</v>
      </c>
      <c r="K26" s="7">
        <v>627.83000000000004</v>
      </c>
      <c r="L26">
        <v>774.76</v>
      </c>
      <c r="M26">
        <v>921.7</v>
      </c>
      <c r="N26">
        <v>1068.6500000000001</v>
      </c>
      <c r="O26">
        <v>1215.5899999999999</v>
      </c>
      <c r="P26">
        <v>1362.52</v>
      </c>
      <c r="Q26">
        <v>1509.47</v>
      </c>
    </row>
    <row r="27" spans="1:17" ht="15" customHeight="1" x14ac:dyDescent="0.25">
      <c r="A27" s="4" t="s">
        <v>52</v>
      </c>
      <c r="B27" s="4" t="s">
        <v>53</v>
      </c>
      <c r="C27" s="5">
        <f>IF($C$2="Capital",[1]Ceps!B26,[1]Ceps!C26)</f>
        <v>49120000</v>
      </c>
      <c r="D27" s="6">
        <v>83.66</v>
      </c>
      <c r="E27" s="6">
        <v>122.82</v>
      </c>
      <c r="F27" s="6">
        <v>190.6</v>
      </c>
      <c r="G27" s="6">
        <v>322.92</v>
      </c>
      <c r="H27" s="6">
        <v>483.16</v>
      </c>
      <c r="I27" s="6">
        <v>658.17</v>
      </c>
      <c r="J27" s="6">
        <v>820.78</v>
      </c>
      <c r="K27" s="7">
        <v>1158.01</v>
      </c>
      <c r="L27">
        <v>1441.48</v>
      </c>
      <c r="M27">
        <v>1724.96</v>
      </c>
      <c r="N27">
        <v>2008.43</v>
      </c>
      <c r="O27">
        <v>2291.9</v>
      </c>
      <c r="P27">
        <v>2575.38</v>
      </c>
      <c r="Q27">
        <v>2858.85</v>
      </c>
    </row>
    <row r="28" spans="1:17" ht="15" customHeight="1" x14ac:dyDescent="0.25">
      <c r="A28" s="4" t="s">
        <v>54</v>
      </c>
      <c r="B28" s="4" t="s">
        <v>55</v>
      </c>
      <c r="C28" s="5" t="str">
        <f>IF($C$2="Capital",[1]Ceps!B27,[1]Ceps!C27)</f>
        <v>04474970</v>
      </c>
      <c r="D28" s="6">
        <v>16.91</v>
      </c>
      <c r="E28" s="6">
        <v>26.74</v>
      </c>
      <c r="F28" s="6">
        <v>35.39</v>
      </c>
      <c r="G28" s="6">
        <v>61.61</v>
      </c>
      <c r="H28" s="6">
        <v>93.42</v>
      </c>
      <c r="I28" s="6">
        <v>128.68</v>
      </c>
      <c r="J28" s="6">
        <v>161.44</v>
      </c>
      <c r="K28" s="7">
        <v>274.76</v>
      </c>
      <c r="L28">
        <v>331.26</v>
      </c>
      <c r="M28">
        <v>387.76</v>
      </c>
      <c r="N28">
        <v>444.25</v>
      </c>
      <c r="O28">
        <v>500.75</v>
      </c>
      <c r="P28">
        <v>557.25</v>
      </c>
      <c r="Q28">
        <v>613.75</v>
      </c>
    </row>
    <row r="29" spans="1:17" ht="15" customHeight="1" x14ac:dyDescent="0.25">
      <c r="A29" s="4" t="s">
        <v>56</v>
      </c>
      <c r="B29" s="4" t="s">
        <v>57</v>
      </c>
      <c r="C29" s="5">
        <f>IF($C$2="Capital",[1]Ceps!B28,[1]Ceps!C28)</f>
        <v>77470000</v>
      </c>
      <c r="D29" s="6">
        <v>60.61</v>
      </c>
      <c r="E29" s="6">
        <v>95.12</v>
      </c>
      <c r="F29" s="6">
        <v>152.46</v>
      </c>
      <c r="G29" s="6">
        <v>272.27999999999997</v>
      </c>
      <c r="H29" s="6">
        <v>387.04</v>
      </c>
      <c r="I29" s="6">
        <v>527.38</v>
      </c>
      <c r="J29" s="6">
        <v>657.76</v>
      </c>
      <c r="K29" s="7">
        <v>938.84</v>
      </c>
      <c r="L29">
        <v>1166.1600000000001</v>
      </c>
      <c r="M29">
        <v>1393.47</v>
      </c>
      <c r="N29">
        <v>1620.8</v>
      </c>
      <c r="O29">
        <v>1848.11</v>
      </c>
      <c r="P29">
        <v>2075.4299999999998</v>
      </c>
      <c r="Q29">
        <v>2302.7399999999998</v>
      </c>
    </row>
    <row r="30" spans="1:17" ht="15" customHeight="1" x14ac:dyDescent="0.25"/>
  </sheetData>
  <autoFilter ref="A2:C2" xr:uid="{DBBFB04E-3C0F-4BA2-A5BB-2875C3B74A4A}">
    <sortState xmlns:xlrd2="http://schemas.microsoft.com/office/spreadsheetml/2017/richdata2" ref="A3:C29">
      <sortCondition ref="A2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B326-159D-44B1-ABFF-A0BEEF704D9C}">
  <sheetPr codeName="Planilha5"/>
  <dimension ref="A1:Q30"/>
  <sheetViews>
    <sheetView showGridLines="0" workbookViewId="0">
      <selection activeCell="G10" sqref="G10"/>
    </sheetView>
  </sheetViews>
  <sheetFormatPr defaultRowHeight="15" x14ac:dyDescent="0.25"/>
  <cols>
    <col min="2" max="2" width="14.28515625" bestFit="1" customWidth="1"/>
    <col min="4" max="10" width="9.140625" style="8"/>
    <col min="11" max="11" width="10.7109375" bestFit="1" customWidth="1"/>
  </cols>
  <sheetData>
    <row r="1" spans="1:17" x14ac:dyDescent="0.25">
      <c r="D1" s="1">
        <v>1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40</v>
      </c>
      <c r="L1" s="1">
        <v>50</v>
      </c>
      <c r="M1" s="1">
        <v>60</v>
      </c>
      <c r="N1" s="1">
        <v>70</v>
      </c>
      <c r="O1" s="1">
        <v>80</v>
      </c>
      <c r="P1" s="1">
        <v>90</v>
      </c>
      <c r="Q1" s="1">
        <v>100</v>
      </c>
    </row>
    <row r="2" spans="1:17" x14ac:dyDescent="0.25">
      <c r="A2" t="s">
        <v>0</v>
      </c>
      <c r="B2" t="s">
        <v>1</v>
      </c>
      <c r="C2" s="2" t="s">
        <v>2</v>
      </c>
      <c r="D2" s="10" t="s">
        <v>59</v>
      </c>
      <c r="E2" s="10" t="s">
        <v>59</v>
      </c>
      <c r="F2" s="10" t="s">
        <v>59</v>
      </c>
      <c r="G2" s="10" t="s">
        <v>59</v>
      </c>
      <c r="H2" s="10" t="s">
        <v>59</v>
      </c>
      <c r="I2" s="10" t="s">
        <v>59</v>
      </c>
      <c r="J2" s="10" t="s">
        <v>59</v>
      </c>
      <c r="K2" s="10" t="s">
        <v>59</v>
      </c>
      <c r="L2" s="10" t="s">
        <v>59</v>
      </c>
      <c r="M2" s="10" t="s">
        <v>59</v>
      </c>
      <c r="N2" s="10" t="s">
        <v>59</v>
      </c>
      <c r="O2" s="10" t="s">
        <v>59</v>
      </c>
      <c r="P2" s="10" t="s">
        <v>59</v>
      </c>
      <c r="Q2" s="10" t="s">
        <v>59</v>
      </c>
    </row>
    <row r="3" spans="1:17" ht="15" customHeight="1" x14ac:dyDescent="0.25">
      <c r="A3" s="4" t="s">
        <v>4</v>
      </c>
      <c r="B3" s="4" t="s">
        <v>5</v>
      </c>
      <c r="C3" s="5">
        <f>IF($C$2="Capital",[1]Ceps!B2,[1]Ceps!C2)</f>
        <v>69925000</v>
      </c>
      <c r="D3" s="6">
        <v>86.84</v>
      </c>
      <c r="E3" s="6">
        <v>179.63</v>
      </c>
      <c r="F3" s="6">
        <v>316.7</v>
      </c>
      <c r="G3" s="6">
        <v>484.49</v>
      </c>
      <c r="H3" s="6">
        <v>661.27</v>
      </c>
      <c r="I3" s="6">
        <v>866.55</v>
      </c>
      <c r="J3" s="6">
        <v>1033.81</v>
      </c>
      <c r="K3" s="7">
        <v>1293.8599999999999</v>
      </c>
      <c r="L3">
        <v>1489.39</v>
      </c>
      <c r="M3">
        <v>1749.44</v>
      </c>
      <c r="N3">
        <v>1944.98</v>
      </c>
      <c r="O3">
        <v>2140.5100000000002</v>
      </c>
      <c r="P3">
        <v>2336.04</v>
      </c>
      <c r="Q3">
        <v>2531.5700000000002</v>
      </c>
    </row>
    <row r="4" spans="1:17" ht="15" customHeight="1" x14ac:dyDescent="0.25">
      <c r="A4" s="4" t="s">
        <v>6</v>
      </c>
      <c r="B4" s="4" t="s">
        <v>7</v>
      </c>
      <c r="C4" s="5">
        <f>IF($C$2="Capital",[1]Ceps!B3,[1]Ceps!C3)</f>
        <v>57480000</v>
      </c>
      <c r="D4" s="6">
        <v>56.15</v>
      </c>
      <c r="E4" s="6">
        <v>93.1</v>
      </c>
      <c r="F4" s="6">
        <v>150.43</v>
      </c>
      <c r="G4" s="6">
        <v>221.54</v>
      </c>
      <c r="H4" s="6">
        <v>295.99</v>
      </c>
      <c r="I4" s="6">
        <v>382.59</v>
      </c>
      <c r="J4" s="6">
        <v>452.27</v>
      </c>
      <c r="K4" s="7">
        <v>608.20000000000005</v>
      </c>
      <c r="L4">
        <v>699.62</v>
      </c>
      <c r="M4">
        <v>855.56</v>
      </c>
      <c r="N4">
        <v>946.98</v>
      </c>
      <c r="O4">
        <v>1038.4000000000001</v>
      </c>
      <c r="P4">
        <v>1129.82</v>
      </c>
      <c r="Q4">
        <v>1221.25</v>
      </c>
    </row>
    <row r="5" spans="1:17" ht="15" customHeight="1" x14ac:dyDescent="0.25">
      <c r="A5" s="4" t="s">
        <v>8</v>
      </c>
      <c r="B5" s="4" t="s">
        <v>9</v>
      </c>
      <c r="C5" s="5">
        <f>IF($C$2="Capital",[1]Ceps!B4,[1]Ceps!C4)</f>
        <v>68925001</v>
      </c>
      <c r="D5" s="6">
        <v>85.26</v>
      </c>
      <c r="E5" s="6">
        <v>177.31</v>
      </c>
      <c r="F5" s="6">
        <v>313.24</v>
      </c>
      <c r="G5" s="6">
        <v>479.56</v>
      </c>
      <c r="H5" s="6">
        <v>654.83000000000004</v>
      </c>
      <c r="I5" s="6">
        <v>858.44</v>
      </c>
      <c r="J5" s="6">
        <v>1024.3800000000001</v>
      </c>
      <c r="K5" s="7">
        <v>1284.42</v>
      </c>
      <c r="L5">
        <v>1479.96</v>
      </c>
      <c r="M5">
        <v>1740.01</v>
      </c>
      <c r="N5">
        <v>1935.54</v>
      </c>
      <c r="O5">
        <v>2131.08</v>
      </c>
      <c r="P5">
        <v>2326.6</v>
      </c>
      <c r="Q5">
        <v>2522.14</v>
      </c>
    </row>
    <row r="6" spans="1:17" ht="15" customHeight="1" x14ac:dyDescent="0.25">
      <c r="A6" s="4" t="s">
        <v>10</v>
      </c>
      <c r="B6" s="4" t="s">
        <v>11</v>
      </c>
      <c r="C6" s="5">
        <f>IF($C$2="Capital",[1]Ceps!B5,[1]Ceps!C5)</f>
        <v>69190000</v>
      </c>
      <c r="D6" s="6">
        <v>93.83</v>
      </c>
      <c r="E6" s="6">
        <v>186.7</v>
      </c>
      <c r="F6" s="6">
        <v>323.77</v>
      </c>
      <c r="G6" s="6">
        <v>491.51</v>
      </c>
      <c r="H6" s="6">
        <v>668.22</v>
      </c>
      <c r="I6" s="6">
        <v>873.43</v>
      </c>
      <c r="J6" s="6">
        <v>1040.69</v>
      </c>
      <c r="K6" s="7">
        <v>1300.74</v>
      </c>
      <c r="L6">
        <v>1496.27</v>
      </c>
      <c r="M6">
        <v>1756.32</v>
      </c>
      <c r="N6">
        <v>1951.86</v>
      </c>
      <c r="O6">
        <v>2147.39</v>
      </c>
      <c r="P6">
        <v>2342.92</v>
      </c>
      <c r="Q6">
        <v>2538.4499999999998</v>
      </c>
    </row>
    <row r="7" spans="1:17" ht="15" customHeight="1" x14ac:dyDescent="0.25">
      <c r="A7" s="4" t="s">
        <v>12</v>
      </c>
      <c r="B7" s="4" t="s">
        <v>13</v>
      </c>
      <c r="C7" s="5">
        <f>IF($C$2="Capital",[1]Ceps!B6,[1]Ceps!C6)</f>
        <v>42600000</v>
      </c>
      <c r="D7" s="6">
        <v>54.82</v>
      </c>
      <c r="E7" s="6">
        <v>89.38</v>
      </c>
      <c r="F7" s="6">
        <v>143.31</v>
      </c>
      <c r="G7" s="6">
        <v>210.3</v>
      </c>
      <c r="H7" s="6">
        <v>280.42</v>
      </c>
      <c r="I7" s="6">
        <v>362.04</v>
      </c>
      <c r="J7" s="6">
        <v>427.62</v>
      </c>
      <c r="K7" s="7">
        <v>580.29999999999995</v>
      </c>
      <c r="L7">
        <v>668.46</v>
      </c>
      <c r="M7">
        <v>821.15</v>
      </c>
      <c r="N7">
        <v>909.31</v>
      </c>
      <c r="O7">
        <v>997.47</v>
      </c>
      <c r="P7">
        <v>1085.6300000000001</v>
      </c>
      <c r="Q7">
        <v>1173.81</v>
      </c>
    </row>
    <row r="8" spans="1:17" ht="15" customHeight="1" x14ac:dyDescent="0.25">
      <c r="A8" s="4" t="s">
        <v>14</v>
      </c>
      <c r="B8" s="4" t="s">
        <v>15</v>
      </c>
      <c r="C8" s="5">
        <f>IF($C$2="Capital",[1]Ceps!B7,[1]Ceps!C7)</f>
        <v>61600001</v>
      </c>
      <c r="D8" s="6">
        <v>63.41</v>
      </c>
      <c r="E8" s="6">
        <v>126.65</v>
      </c>
      <c r="F8" s="6">
        <v>220.77</v>
      </c>
      <c r="G8" s="6">
        <v>336.28</v>
      </c>
      <c r="H8" s="6">
        <v>457.92</v>
      </c>
      <c r="I8" s="6">
        <v>599.20000000000005</v>
      </c>
      <c r="J8" s="6">
        <v>714.24</v>
      </c>
      <c r="K8" s="7">
        <v>918.25</v>
      </c>
      <c r="L8">
        <v>1057.73</v>
      </c>
      <c r="M8">
        <v>1261.74</v>
      </c>
      <c r="N8">
        <v>1401.24</v>
      </c>
      <c r="O8">
        <v>1540.72</v>
      </c>
      <c r="P8">
        <v>1680.22</v>
      </c>
      <c r="Q8">
        <v>1819.7</v>
      </c>
    </row>
    <row r="9" spans="1:17" ht="15" customHeight="1" x14ac:dyDescent="0.25">
      <c r="A9" s="4" t="s">
        <v>16</v>
      </c>
      <c r="B9" s="4" t="s">
        <v>17</v>
      </c>
      <c r="C9" s="5">
        <f>IF($C$2="Capital",[1]Ceps!B8,[1]Ceps!C8)</f>
        <v>71572000</v>
      </c>
      <c r="D9" s="6">
        <v>50.65</v>
      </c>
      <c r="E9" s="6">
        <v>76.430000000000007</v>
      </c>
      <c r="F9" s="6">
        <v>117.85</v>
      </c>
      <c r="G9" s="6">
        <v>169.65</v>
      </c>
      <c r="H9" s="6">
        <v>223.66</v>
      </c>
      <c r="I9" s="6">
        <v>286.62</v>
      </c>
      <c r="J9" s="6">
        <v>336.81</v>
      </c>
      <c r="K9" s="7">
        <v>475.23</v>
      </c>
      <c r="L9">
        <v>549.13</v>
      </c>
      <c r="M9">
        <v>687.54</v>
      </c>
      <c r="N9">
        <v>761.44</v>
      </c>
      <c r="O9">
        <v>835.34</v>
      </c>
      <c r="P9">
        <v>909.25</v>
      </c>
      <c r="Q9">
        <v>983.14</v>
      </c>
    </row>
    <row r="10" spans="1:17" ht="15" customHeight="1" x14ac:dyDescent="0.25">
      <c r="A10" s="4" t="s">
        <v>18</v>
      </c>
      <c r="B10" s="4" t="s">
        <v>19</v>
      </c>
      <c r="C10" s="5">
        <f>IF($C$2="Capital",[1]Ceps!B9,[1]Ceps!C9)</f>
        <v>29185000</v>
      </c>
      <c r="D10" s="6">
        <v>44.92</v>
      </c>
      <c r="E10" s="6">
        <v>63.15</v>
      </c>
      <c r="F10" s="6">
        <v>93.61</v>
      </c>
      <c r="G10" s="6">
        <v>131.97999999999999</v>
      </c>
      <c r="H10" s="6">
        <v>171.81</v>
      </c>
      <c r="I10" s="6">
        <v>218.31</v>
      </c>
      <c r="J10" s="6">
        <v>255.03</v>
      </c>
      <c r="K10" s="7">
        <v>377.39</v>
      </c>
      <c r="L10">
        <v>435.24</v>
      </c>
      <c r="M10">
        <v>557.59</v>
      </c>
      <c r="N10">
        <v>615.42999999999995</v>
      </c>
      <c r="O10">
        <v>673.27</v>
      </c>
      <c r="P10">
        <v>731.11</v>
      </c>
      <c r="Q10">
        <v>788.95</v>
      </c>
    </row>
    <row r="11" spans="1:17" ht="15" customHeight="1" x14ac:dyDescent="0.25">
      <c r="A11" s="4" t="s">
        <v>20</v>
      </c>
      <c r="B11" s="4" t="s">
        <v>21</v>
      </c>
      <c r="C11" s="5">
        <f>IF($C$2="Capital",[1]Ceps!B10,[1]Ceps!C10)</f>
        <v>72860001</v>
      </c>
      <c r="D11" s="6">
        <v>51.04</v>
      </c>
      <c r="E11" s="6">
        <v>77.06</v>
      </c>
      <c r="F11" s="6">
        <v>118.85</v>
      </c>
      <c r="G11" s="6">
        <v>171.1</v>
      </c>
      <c r="H11" s="6">
        <v>225.56</v>
      </c>
      <c r="I11" s="6">
        <v>289.02999999999997</v>
      </c>
      <c r="J11" s="6">
        <v>339.61</v>
      </c>
      <c r="K11" s="7">
        <v>478.03</v>
      </c>
      <c r="L11">
        <v>551.94000000000005</v>
      </c>
      <c r="M11">
        <v>690.35</v>
      </c>
      <c r="N11">
        <v>764.25</v>
      </c>
      <c r="O11">
        <v>838.15</v>
      </c>
      <c r="P11">
        <v>912.05</v>
      </c>
      <c r="Q11">
        <v>985.96</v>
      </c>
    </row>
    <row r="12" spans="1:17" ht="15" customHeight="1" x14ac:dyDescent="0.25">
      <c r="A12" s="4" t="s">
        <v>22</v>
      </c>
      <c r="B12" s="4" t="s">
        <v>23</v>
      </c>
      <c r="C12" s="5">
        <f>IF($C$2="Capital",[1]Ceps!B11,[1]Ceps!C11)</f>
        <v>65143000</v>
      </c>
      <c r="D12" s="6">
        <v>57.06</v>
      </c>
      <c r="E12" s="6">
        <v>96.1</v>
      </c>
      <c r="F12" s="6">
        <v>156.41999999999999</v>
      </c>
      <c r="G12" s="6">
        <v>231.12</v>
      </c>
      <c r="H12" s="6">
        <v>309.35000000000002</v>
      </c>
      <c r="I12" s="6">
        <v>400.35</v>
      </c>
      <c r="J12" s="6">
        <v>473.65</v>
      </c>
      <c r="K12" s="7">
        <v>632.96</v>
      </c>
      <c r="L12">
        <v>727.74</v>
      </c>
      <c r="M12">
        <v>887.05</v>
      </c>
      <c r="N12">
        <v>981.84</v>
      </c>
      <c r="O12">
        <v>1076.6300000000001</v>
      </c>
      <c r="P12">
        <v>1171.42</v>
      </c>
      <c r="Q12">
        <v>1266.22</v>
      </c>
    </row>
    <row r="13" spans="1:17" ht="15" customHeight="1" x14ac:dyDescent="0.25">
      <c r="A13" s="4" t="s">
        <v>24</v>
      </c>
      <c r="B13" s="4" t="s">
        <v>25</v>
      </c>
      <c r="C13" s="5">
        <f>IF($C$2="Capital",[1]Ceps!B12,[1]Ceps!C12)</f>
        <v>78195000</v>
      </c>
      <c r="D13" s="6">
        <v>53.59</v>
      </c>
      <c r="E13" s="6">
        <v>89.33</v>
      </c>
      <c r="F13" s="6">
        <v>144.72</v>
      </c>
      <c r="G13" s="6">
        <v>213.38</v>
      </c>
      <c r="H13" s="6">
        <v>285.3</v>
      </c>
      <c r="I13" s="6">
        <v>369.04</v>
      </c>
      <c r="J13" s="6">
        <v>436.45</v>
      </c>
      <c r="K13" s="7">
        <v>593.96</v>
      </c>
      <c r="L13">
        <v>686.96</v>
      </c>
      <c r="M13">
        <v>844.46</v>
      </c>
      <c r="N13">
        <v>937.45</v>
      </c>
      <c r="O13">
        <v>1030.45</v>
      </c>
      <c r="P13">
        <v>1123.44</v>
      </c>
      <c r="Q13">
        <v>1216.44</v>
      </c>
    </row>
    <row r="14" spans="1:17" ht="15" customHeight="1" x14ac:dyDescent="0.25">
      <c r="A14" s="4" t="s">
        <v>26</v>
      </c>
      <c r="B14" s="4" t="s">
        <v>27</v>
      </c>
      <c r="C14" s="5">
        <f>IF($C$2="Capital",[1]Ceps!B13,[1]Ceps!C13)</f>
        <v>79130000</v>
      </c>
      <c r="D14" s="6">
        <v>52.45</v>
      </c>
      <c r="E14" s="6">
        <v>85.12</v>
      </c>
      <c r="F14" s="6">
        <v>136.16999999999999</v>
      </c>
      <c r="G14" s="6">
        <v>199.6</v>
      </c>
      <c r="H14" s="6">
        <v>265.97000000000003</v>
      </c>
      <c r="I14" s="6">
        <v>343.3</v>
      </c>
      <c r="J14" s="6">
        <v>405.4</v>
      </c>
      <c r="K14" s="7">
        <v>557.52</v>
      </c>
      <c r="L14">
        <v>645.12</v>
      </c>
      <c r="M14">
        <v>797.24</v>
      </c>
      <c r="N14">
        <v>884.84</v>
      </c>
      <c r="O14">
        <v>972.44</v>
      </c>
      <c r="P14">
        <v>1060.04</v>
      </c>
      <c r="Q14">
        <v>1147.6500000000001</v>
      </c>
    </row>
    <row r="15" spans="1:17" ht="15" customHeight="1" x14ac:dyDescent="0.25">
      <c r="A15" s="4" t="s">
        <v>28</v>
      </c>
      <c r="B15" s="4" t="s">
        <v>29</v>
      </c>
      <c r="C15" s="5">
        <f>IF($C$2="Capital",[1]Ceps!B14,[1]Ceps!C14)</f>
        <v>32450000</v>
      </c>
      <c r="D15" s="6">
        <v>46.17</v>
      </c>
      <c r="E15" s="6">
        <v>62.98</v>
      </c>
      <c r="F15" s="6">
        <v>91.66</v>
      </c>
      <c r="G15" s="6">
        <v>127.93</v>
      </c>
      <c r="H15" s="6">
        <v>165.5</v>
      </c>
      <c r="I15" s="6">
        <v>209.44</v>
      </c>
      <c r="J15" s="6">
        <v>243.98</v>
      </c>
      <c r="K15" s="7">
        <v>368.77</v>
      </c>
      <c r="L15">
        <v>425.39</v>
      </c>
      <c r="M15">
        <v>550.17999999999995</v>
      </c>
      <c r="N15">
        <v>606.79999999999995</v>
      </c>
      <c r="O15">
        <v>663.42</v>
      </c>
      <c r="P15">
        <v>720.03</v>
      </c>
      <c r="Q15">
        <v>776.65</v>
      </c>
    </row>
    <row r="16" spans="1:17" ht="15" customHeight="1" x14ac:dyDescent="0.25">
      <c r="A16" s="4" t="s">
        <v>30</v>
      </c>
      <c r="B16" s="4" t="s">
        <v>31</v>
      </c>
      <c r="C16" s="5">
        <f>IF($C$2="Capital",[1]Ceps!B15,[1]Ceps!C15)</f>
        <v>66910000</v>
      </c>
      <c r="D16" s="6">
        <v>73.680000000000007</v>
      </c>
      <c r="E16" s="6">
        <v>121.65</v>
      </c>
      <c r="F16" s="6">
        <v>195.92</v>
      </c>
      <c r="G16" s="6">
        <v>287.86</v>
      </c>
      <c r="H16" s="6">
        <v>384.03</v>
      </c>
      <c r="I16" s="6">
        <v>495.92</v>
      </c>
      <c r="J16" s="6">
        <v>585.73</v>
      </c>
      <c r="K16" s="7">
        <v>765.14</v>
      </c>
      <c r="L16">
        <v>880.04</v>
      </c>
      <c r="M16">
        <v>1059.45</v>
      </c>
      <c r="N16">
        <v>1174.3399999999999</v>
      </c>
      <c r="O16">
        <v>1289.24</v>
      </c>
      <c r="P16">
        <v>1404.13</v>
      </c>
      <c r="Q16">
        <v>1519.02</v>
      </c>
    </row>
    <row r="17" spans="1:17" ht="15" customHeight="1" x14ac:dyDescent="0.25">
      <c r="A17" s="4" t="s">
        <v>32</v>
      </c>
      <c r="B17" s="4" t="s">
        <v>33</v>
      </c>
      <c r="C17" s="5">
        <f>IF($C$2="Capital",[1]Ceps!B16,[1]Ceps!C16)</f>
        <v>58117000</v>
      </c>
      <c r="D17" s="6">
        <v>60.33</v>
      </c>
      <c r="E17" s="6">
        <v>111.82</v>
      </c>
      <c r="F17" s="6">
        <v>189.54</v>
      </c>
      <c r="G17" s="6">
        <v>285.25</v>
      </c>
      <c r="H17" s="6">
        <v>385.83</v>
      </c>
      <c r="I17" s="6">
        <v>502.69</v>
      </c>
      <c r="J17" s="6">
        <v>597.48</v>
      </c>
      <c r="K17" s="7">
        <v>779.7</v>
      </c>
      <c r="L17">
        <v>897.4</v>
      </c>
      <c r="M17">
        <v>1079.6199999999999</v>
      </c>
      <c r="N17">
        <v>1197.32</v>
      </c>
      <c r="O17">
        <v>1315.02</v>
      </c>
      <c r="P17">
        <v>1432.72</v>
      </c>
      <c r="Q17">
        <v>1550.43</v>
      </c>
    </row>
    <row r="18" spans="1:17" ht="15" customHeight="1" x14ac:dyDescent="0.25">
      <c r="A18" s="4" t="s">
        <v>34</v>
      </c>
      <c r="B18" s="4" t="s">
        <v>35</v>
      </c>
      <c r="C18" s="5">
        <f>IF($C$2="Capital",[1]Ceps!B17,[1]Ceps!C17)</f>
        <v>64100000</v>
      </c>
      <c r="D18" s="6">
        <v>56.61</v>
      </c>
      <c r="E18" s="6">
        <v>95.32</v>
      </c>
      <c r="F18" s="6">
        <v>155.13</v>
      </c>
      <c r="G18" s="6">
        <v>229.19</v>
      </c>
      <c r="H18" s="6">
        <v>306.81</v>
      </c>
      <c r="I18" s="6">
        <v>397.09</v>
      </c>
      <c r="J18" s="6">
        <v>469.81</v>
      </c>
      <c r="K18" s="7">
        <v>629.12</v>
      </c>
      <c r="L18">
        <v>723.9</v>
      </c>
      <c r="M18">
        <v>883.22</v>
      </c>
      <c r="N18">
        <v>978</v>
      </c>
      <c r="O18">
        <v>1072.8</v>
      </c>
      <c r="P18">
        <v>1167.58</v>
      </c>
      <c r="Q18">
        <v>1262.3800000000001</v>
      </c>
    </row>
    <row r="19" spans="1:17" ht="15" customHeight="1" x14ac:dyDescent="0.25">
      <c r="A19" s="4" t="s">
        <v>36</v>
      </c>
      <c r="B19" s="4" t="s">
        <v>37</v>
      </c>
      <c r="C19" s="5">
        <f>IF($C$2="Capital",[1]Ceps!B18,[1]Ceps!C18)</f>
        <v>83024899</v>
      </c>
      <c r="D19" s="6">
        <v>46.81</v>
      </c>
      <c r="E19" s="6">
        <v>64.63</v>
      </c>
      <c r="F19" s="6">
        <v>94.76</v>
      </c>
      <c r="G19" s="6">
        <v>132.82</v>
      </c>
      <c r="H19" s="6">
        <v>172.3</v>
      </c>
      <c r="I19" s="6">
        <v>218.43</v>
      </c>
      <c r="J19" s="6">
        <v>254.76</v>
      </c>
      <c r="K19" s="7">
        <v>381.45</v>
      </c>
      <c r="L19">
        <v>439.98</v>
      </c>
      <c r="M19">
        <v>566.66999999999996</v>
      </c>
      <c r="N19">
        <v>625.17999999999995</v>
      </c>
      <c r="O19">
        <v>683.7</v>
      </c>
      <c r="P19">
        <v>742.22</v>
      </c>
      <c r="Q19">
        <v>800.73</v>
      </c>
    </row>
    <row r="20" spans="1:17" ht="15" customHeight="1" x14ac:dyDescent="0.25">
      <c r="A20" s="4" t="s">
        <v>38</v>
      </c>
      <c r="B20" s="4" t="s">
        <v>39</v>
      </c>
      <c r="C20" s="5">
        <f>IF($C$2="Capital",[1]Ceps!B19,[1]Ceps!C19)</f>
        <v>53900000</v>
      </c>
      <c r="D20" s="6">
        <v>58</v>
      </c>
      <c r="E20" s="6">
        <v>101.99</v>
      </c>
      <c r="F20" s="6">
        <v>169.19</v>
      </c>
      <c r="G20" s="6">
        <v>252.2</v>
      </c>
      <c r="H20" s="6">
        <v>339.3</v>
      </c>
      <c r="I20" s="6">
        <v>440.59</v>
      </c>
      <c r="J20" s="6">
        <v>522.45000000000005</v>
      </c>
      <c r="K20" s="7">
        <v>691.53</v>
      </c>
      <c r="L20">
        <v>796.09</v>
      </c>
      <c r="M20">
        <v>965.16</v>
      </c>
      <c r="N20">
        <v>1069.72</v>
      </c>
      <c r="O20">
        <v>1174.29</v>
      </c>
      <c r="P20">
        <v>1278.8499999999999</v>
      </c>
      <c r="Q20">
        <v>1383.41</v>
      </c>
    </row>
    <row r="21" spans="1:17" ht="15" customHeight="1" x14ac:dyDescent="0.25">
      <c r="A21" s="4" t="s">
        <v>40</v>
      </c>
      <c r="B21" s="4" t="s">
        <v>41</v>
      </c>
      <c r="C21" s="5">
        <f>IF($C$2="Capital",[1]Ceps!B20,[1]Ceps!C20)</f>
        <v>20396000</v>
      </c>
      <c r="D21" s="6">
        <v>46.17</v>
      </c>
      <c r="E21" s="6">
        <v>62.98</v>
      </c>
      <c r="F21" s="6">
        <v>91.66</v>
      </c>
      <c r="G21" s="6">
        <v>127.93</v>
      </c>
      <c r="H21" s="6">
        <v>165.5</v>
      </c>
      <c r="I21" s="6">
        <v>209.44</v>
      </c>
      <c r="J21" s="6">
        <v>243.98</v>
      </c>
      <c r="K21" s="7">
        <v>368.77</v>
      </c>
      <c r="L21">
        <v>425.39</v>
      </c>
      <c r="M21">
        <v>550.17999999999995</v>
      </c>
      <c r="N21">
        <v>606.79999999999995</v>
      </c>
      <c r="O21">
        <v>663.42</v>
      </c>
      <c r="P21">
        <v>720.03</v>
      </c>
      <c r="Q21">
        <v>776.65</v>
      </c>
    </row>
    <row r="22" spans="1:17" ht="15" customHeight="1" x14ac:dyDescent="0.25">
      <c r="A22" s="4" t="s">
        <v>42</v>
      </c>
      <c r="B22" s="4" t="s">
        <v>43</v>
      </c>
      <c r="C22" s="5">
        <f>IF($C$2="Capital",[1]Ceps!B21,[1]Ceps!C21)</f>
        <v>59162000</v>
      </c>
      <c r="D22" s="6">
        <v>60.33</v>
      </c>
      <c r="E22" s="6">
        <v>111.82</v>
      </c>
      <c r="F22" s="6">
        <v>189.54</v>
      </c>
      <c r="G22" s="6">
        <v>285.25</v>
      </c>
      <c r="H22" s="6">
        <v>385.83</v>
      </c>
      <c r="I22" s="6">
        <v>502.69</v>
      </c>
      <c r="J22" s="6">
        <v>597.48</v>
      </c>
      <c r="K22" s="7">
        <v>779.7</v>
      </c>
      <c r="L22">
        <v>897.4</v>
      </c>
      <c r="M22">
        <v>1079.6199999999999</v>
      </c>
      <c r="N22">
        <v>1197.32</v>
      </c>
      <c r="O22">
        <v>1315.02</v>
      </c>
      <c r="P22">
        <v>1432.72</v>
      </c>
      <c r="Q22">
        <v>1550.43</v>
      </c>
    </row>
    <row r="23" spans="1:17" ht="15" customHeight="1" x14ac:dyDescent="0.25">
      <c r="A23" s="4" t="s">
        <v>44</v>
      </c>
      <c r="B23" s="4" t="s">
        <v>45</v>
      </c>
      <c r="C23" s="5">
        <f>IF($C$2="Capital",[1]Ceps!B22,[1]Ceps!C22)</f>
        <v>69340000</v>
      </c>
      <c r="D23" s="6">
        <v>85.94</v>
      </c>
      <c r="E23" s="6">
        <v>178.81</v>
      </c>
      <c r="F23" s="6">
        <v>315.88</v>
      </c>
      <c r="G23" s="6">
        <v>483.61</v>
      </c>
      <c r="H23" s="6">
        <v>660.32</v>
      </c>
      <c r="I23" s="6">
        <v>865.54</v>
      </c>
      <c r="J23" s="6">
        <v>1032.8</v>
      </c>
      <c r="K23" s="7">
        <v>1292.8499999999999</v>
      </c>
      <c r="L23">
        <v>1488.38</v>
      </c>
      <c r="M23">
        <v>1748.43</v>
      </c>
      <c r="N23">
        <v>1943.97</v>
      </c>
      <c r="O23">
        <v>2139.4899999999998</v>
      </c>
      <c r="P23">
        <v>2335.0300000000002</v>
      </c>
      <c r="Q23">
        <v>2530.56</v>
      </c>
    </row>
    <row r="24" spans="1:17" ht="15" customHeight="1" x14ac:dyDescent="0.25">
      <c r="A24" s="4" t="s">
        <v>46</v>
      </c>
      <c r="B24" s="4" t="s">
        <v>47</v>
      </c>
      <c r="C24" s="5">
        <f>IF($C$2="Capital",[1]Ceps!B23,[1]Ceps!C23)</f>
        <v>92990000</v>
      </c>
      <c r="D24" s="6">
        <v>48.6</v>
      </c>
      <c r="E24" s="6">
        <v>69.430000000000007</v>
      </c>
      <c r="F24" s="6">
        <v>103.94</v>
      </c>
      <c r="G24" s="6">
        <v>147.27000000000001</v>
      </c>
      <c r="H24" s="6">
        <v>192.33</v>
      </c>
      <c r="I24" s="6">
        <v>244.9</v>
      </c>
      <c r="J24" s="6">
        <v>286.51</v>
      </c>
      <c r="K24" s="7">
        <v>418.31</v>
      </c>
      <c r="L24">
        <v>481.93</v>
      </c>
      <c r="M24">
        <v>613.73</v>
      </c>
      <c r="N24">
        <v>677.35</v>
      </c>
      <c r="O24">
        <v>740.97</v>
      </c>
      <c r="P24">
        <v>804.59</v>
      </c>
      <c r="Q24">
        <v>868.2</v>
      </c>
    </row>
    <row r="25" spans="1:17" ht="15" customHeight="1" x14ac:dyDescent="0.25">
      <c r="A25" s="4" t="s">
        <v>48</v>
      </c>
      <c r="B25" s="4" t="s">
        <v>49</v>
      </c>
      <c r="C25" s="5">
        <f>IF($C$2="Capital",[1]Ceps!B24,[1]Ceps!C24)</f>
        <v>76860000</v>
      </c>
      <c r="D25" s="6">
        <v>81.87</v>
      </c>
      <c r="E25" s="6">
        <v>159.28</v>
      </c>
      <c r="F25" s="6">
        <v>274.72000000000003</v>
      </c>
      <c r="G25" s="6">
        <v>416.37</v>
      </c>
      <c r="H25" s="6">
        <v>565.34</v>
      </c>
      <c r="I25" s="6">
        <v>738.4</v>
      </c>
      <c r="J25" s="6">
        <v>878.97</v>
      </c>
      <c r="K25" s="7">
        <v>1110.94</v>
      </c>
      <c r="L25">
        <v>1278.4000000000001</v>
      </c>
      <c r="M25">
        <v>1510.37</v>
      </c>
      <c r="N25">
        <v>1677.82</v>
      </c>
      <c r="O25">
        <v>1845.28</v>
      </c>
      <c r="P25">
        <v>2012.73</v>
      </c>
      <c r="Q25">
        <v>2180.1799999999998</v>
      </c>
    </row>
    <row r="26" spans="1:17" ht="15" customHeight="1" x14ac:dyDescent="0.25">
      <c r="A26" s="4" t="s">
        <v>50</v>
      </c>
      <c r="B26" s="4" t="s">
        <v>51</v>
      </c>
      <c r="C26" s="5">
        <f>IF($C$2="Capital",[1]Ceps!B25,[1]Ceps!C25)</f>
        <v>88138100</v>
      </c>
      <c r="D26" s="6">
        <v>47.9</v>
      </c>
      <c r="E26" s="6">
        <v>67.28</v>
      </c>
      <c r="F26" s="6">
        <v>99.72</v>
      </c>
      <c r="G26" s="6">
        <v>140.58000000000001</v>
      </c>
      <c r="H26" s="6">
        <v>183</v>
      </c>
      <c r="I26" s="6">
        <v>232.51</v>
      </c>
      <c r="J26" s="6">
        <v>271.60000000000002</v>
      </c>
      <c r="K26" s="7">
        <v>400.8</v>
      </c>
      <c r="L26">
        <v>461.8</v>
      </c>
      <c r="M26">
        <v>590.99</v>
      </c>
      <c r="N26">
        <v>652</v>
      </c>
      <c r="O26">
        <v>713</v>
      </c>
      <c r="P26">
        <v>774.01</v>
      </c>
      <c r="Q26">
        <v>835.02</v>
      </c>
    </row>
    <row r="27" spans="1:17" ht="15" customHeight="1" x14ac:dyDescent="0.25">
      <c r="A27" s="4" t="s">
        <v>52</v>
      </c>
      <c r="B27" s="4" t="s">
        <v>53</v>
      </c>
      <c r="C27" s="5">
        <f>IF($C$2="Capital",[1]Ceps!B26,[1]Ceps!C26)</f>
        <v>49120000</v>
      </c>
      <c r="D27" s="6">
        <v>55.27</v>
      </c>
      <c r="E27" s="6">
        <v>91.57</v>
      </c>
      <c r="F27" s="6">
        <v>147.94</v>
      </c>
      <c r="G27" s="6">
        <v>217.85</v>
      </c>
      <c r="H27" s="6">
        <v>291.05</v>
      </c>
      <c r="I27" s="6">
        <v>376.31</v>
      </c>
      <c r="J27" s="6">
        <v>444.88</v>
      </c>
      <c r="K27" s="7">
        <v>600.83000000000004</v>
      </c>
      <c r="L27">
        <v>692.25</v>
      </c>
      <c r="M27">
        <v>848.18</v>
      </c>
      <c r="N27">
        <v>939.6</v>
      </c>
      <c r="O27">
        <v>1031.02</v>
      </c>
      <c r="P27">
        <v>1122.44</v>
      </c>
      <c r="Q27">
        <v>1213.8599999999999</v>
      </c>
    </row>
    <row r="28" spans="1:17" ht="15" customHeight="1" x14ac:dyDescent="0.25">
      <c r="A28" s="4" t="s">
        <v>54</v>
      </c>
      <c r="B28" s="4" t="s">
        <v>55</v>
      </c>
      <c r="C28" s="5" t="str">
        <f>IF($C$2="Capital",[1]Ceps!B27,[1]Ceps!C27)</f>
        <v>04474970</v>
      </c>
      <c r="D28" s="6">
        <v>45.63</v>
      </c>
      <c r="E28" s="6">
        <v>60.32</v>
      </c>
      <c r="F28" s="6">
        <v>86.05</v>
      </c>
      <c r="G28" s="6">
        <v>118.74</v>
      </c>
      <c r="H28" s="6">
        <v>152.53</v>
      </c>
      <c r="I28" s="6">
        <v>192.07</v>
      </c>
      <c r="J28" s="6">
        <v>222.92</v>
      </c>
      <c r="K28" s="7">
        <v>343.44</v>
      </c>
      <c r="L28">
        <v>395.78</v>
      </c>
      <c r="M28">
        <v>516.30999999999995</v>
      </c>
      <c r="N28">
        <v>568.65</v>
      </c>
      <c r="O28">
        <v>621</v>
      </c>
      <c r="P28">
        <v>673.34</v>
      </c>
      <c r="Q28">
        <v>725.68</v>
      </c>
    </row>
    <row r="29" spans="1:17" ht="15" customHeight="1" x14ac:dyDescent="0.25">
      <c r="A29" s="4" t="s">
        <v>56</v>
      </c>
      <c r="B29" s="4" t="s">
        <v>57</v>
      </c>
      <c r="C29" s="5">
        <f>IF($C$2="Capital",[1]Ceps!B28,[1]Ceps!C28)</f>
        <v>77470000</v>
      </c>
      <c r="D29" s="6">
        <v>64</v>
      </c>
      <c r="E29" s="6">
        <v>112.84</v>
      </c>
      <c r="F29" s="6">
        <v>187.33</v>
      </c>
      <c r="G29" s="6">
        <v>277.64999999999998</v>
      </c>
      <c r="H29" s="6">
        <v>372.32</v>
      </c>
      <c r="I29" s="6">
        <v>482.52</v>
      </c>
      <c r="J29" s="6">
        <v>571.32000000000005</v>
      </c>
      <c r="K29" s="7">
        <v>748.6</v>
      </c>
      <c r="L29">
        <v>861.37</v>
      </c>
      <c r="M29">
        <v>1038.6300000000001</v>
      </c>
      <c r="N29">
        <v>1151.4000000000001</v>
      </c>
      <c r="O29">
        <v>1264.1600000000001</v>
      </c>
      <c r="P29">
        <v>1376.91</v>
      </c>
      <c r="Q29">
        <v>1489.68</v>
      </c>
    </row>
    <row r="30" spans="1:17" ht="15" customHeight="1" x14ac:dyDescent="0.25"/>
  </sheetData>
  <autoFilter ref="A2:C2" xr:uid="{DBBFB04E-3C0F-4BA2-A5BB-2875C3B74A4A}">
    <sortState xmlns:xlrd2="http://schemas.microsoft.com/office/spreadsheetml/2017/richdata2" ref="A3:C29">
      <sortCondition ref="A2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Envia Mais</vt:lpstr>
      <vt:lpstr>GLM</vt:lpstr>
      <vt:lpstr>Mandar Dropoff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Lopes Ribeiro</dc:creator>
  <cp:lastModifiedBy>João Lopes Ribeiro</cp:lastModifiedBy>
  <dcterms:created xsi:type="dcterms:W3CDTF">2026-08-13T14:56:59Z</dcterms:created>
  <dcterms:modified xsi:type="dcterms:W3CDTF">2026-08-13T14:57:19Z</dcterms:modified>
</cp:coreProperties>
</file>